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J7" i="1"/>
  <c r="H7" i="1"/>
  <c r="F7" i="1"/>
  <c r="D7" i="1"/>
  <c r="B7" i="1"/>
  <c r="K6" i="1"/>
  <c r="J6" i="1"/>
  <c r="H6" i="1"/>
  <c r="F6" i="1"/>
  <c r="D6" i="1"/>
  <c r="B6" i="1"/>
  <c r="K5" i="1"/>
  <c r="J5" i="1"/>
  <c r="H5" i="1"/>
  <c r="F5" i="1"/>
  <c r="D5" i="1"/>
  <c r="B5" i="1"/>
  <c r="K4" i="1"/>
  <c r="H4" i="1"/>
  <c r="G4" i="1"/>
  <c r="F4" i="1"/>
  <c r="E4" i="1"/>
  <c r="D4" i="1"/>
  <c r="C4" i="1"/>
  <c r="B4" i="1"/>
  <c r="K23" i="1" l="1"/>
  <c r="D5" i="2"/>
  <c r="E5" i="2"/>
  <c r="F20" i="1"/>
  <c r="H9" i="2"/>
  <c r="F22" i="1"/>
  <c r="D21" i="1"/>
  <c r="B22" i="1"/>
  <c r="H22" i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F24" i="1"/>
  <c r="H10" i="2"/>
  <c r="I18" i="1"/>
  <c r="H11" i="2"/>
  <c r="H20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F25" i="1" l="1"/>
  <c r="B25" i="1"/>
  <c r="B26" i="1"/>
  <c r="H5" i="2"/>
  <c r="K25" i="1"/>
  <c r="J26" i="1"/>
  <c r="D25" i="1"/>
  <c r="I23" i="1"/>
  <c r="H25" i="1"/>
  <c r="I24" i="1"/>
  <c r="K26" i="1"/>
  <c r="I21" i="1"/>
  <c r="I20" i="1"/>
  <c r="I22" i="1"/>
  <c r="J20" i="1"/>
  <c r="D26" i="1"/>
  <c r="J25" i="1"/>
  <c r="F26" i="1"/>
  <c r="I26" i="1" l="1"/>
  <c r="I25" i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<sst xmlns="http://schemas.openxmlformats.org/spreadsheetml/2006/main" count="650" uniqueCount="138">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</sst>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7" borderId="0" xfId="0" applyFill="1"/>
    <xf numFmtId="0" fontId="0" fillId="8" borderId="0" xfId="0" applyFill="1"/>
    <xf numFmtId="0" fontId="0" fillId="27" borderId="0" xfId="0" applyFill="1"/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5" sqref="G5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9" t="s">
        <v>127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30">
        <v>1</v>
      </c>
      <c r="C3" s="130"/>
      <c r="D3" s="131">
        <v>2</v>
      </c>
      <c r="E3" s="131"/>
      <c r="F3" s="132">
        <v>3</v>
      </c>
      <c r="G3" s="132"/>
      <c r="H3" s="8" t="s">
        <v>20</v>
      </c>
      <c r="I3" s="133" t="s">
        <v>131</v>
      </c>
      <c r="J3" s="133"/>
      <c r="K3" s="133"/>
    </row>
    <row r="4" spans="1:11" ht="15.75" x14ac:dyDescent="0.25">
      <c r="A4" s="9" t="s">
        <v>17</v>
      </c>
      <c r="B4" s="10">
        <f>COUNTIFS(_Classe,B3,_All2,1)</f>
        <v>27</v>
      </c>
      <c r="C4" s="11">
        <f>SUM(C5:C8)</f>
        <v>27</v>
      </c>
      <c r="D4" s="12">
        <f>COUNTIFS(_Classe,D3,_All2,1)</f>
        <v>0</v>
      </c>
      <c r="E4" s="13">
        <f>SUM(E5:E8)</f>
        <v>0</v>
      </c>
      <c r="F4" s="14">
        <f>COUNTIFS(_Classe,F3,_All2,1)</f>
        <v>17</v>
      </c>
      <c r="G4" s="15">
        <f>SUM(G5:G8)</f>
        <v>17</v>
      </c>
      <c r="H4" s="16">
        <f>COUNTIFS(_Classe,H3,_All2,1)</f>
        <v>0</v>
      </c>
      <c r="I4" s="17">
        <f t="shared" ref="I4:I18" si="0">SUM(B4,D4,F4,H4)</f>
        <v>44</v>
      </c>
      <c r="J4" s="18">
        <f t="shared" ref="J4:J18" si="1">SUM(C4,E4,G4)</f>
        <v>44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17</v>
      </c>
      <c r="C5" s="22">
        <v>16</v>
      </c>
      <c r="D5" s="23">
        <f>COUNTIFS(_Classe,D3,_All2,1,_Sport,"",_Latin,"")</f>
        <v>0</v>
      </c>
      <c r="E5" s="24"/>
      <c r="F5" s="25">
        <f>COUNTIFS(_Classe,F3,_All2,1,_Sport,"",_Latin,"")</f>
        <v>11</v>
      </c>
      <c r="G5" s="26">
        <v>12</v>
      </c>
      <c r="H5" s="27">
        <f>COUNTIFS(_Classe,H3,_All2,1,_Sport,"",_Latin,"")</f>
        <v>0</v>
      </c>
      <c r="I5" s="28">
        <f t="shared" si="0"/>
        <v>28</v>
      </c>
      <c r="J5" s="29">
        <f t="shared" si="1"/>
        <v>28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4</v>
      </c>
      <c r="C6" s="32">
        <v>5</v>
      </c>
      <c r="D6" s="33">
        <f>COUNTIFS(_Classe,D3,_All2,1,_Sport,1,_Latin,"")</f>
        <v>0</v>
      </c>
      <c r="E6" s="34"/>
      <c r="F6" s="35">
        <f>COUNTIFS(_Classe,F3,_All2,1,_Sport,1,_Latin,"")</f>
        <v>6</v>
      </c>
      <c r="G6" s="36">
        <v>5</v>
      </c>
      <c r="H6" s="37">
        <f>COUNTIFS(_Classe,H3,_All2,1,_Sport,1,_Latin,"")</f>
        <v>0</v>
      </c>
      <c r="I6" s="38">
        <f t="shared" si="0"/>
        <v>10</v>
      </c>
      <c r="J6" s="39">
        <f t="shared" si="1"/>
        <v>10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3</v>
      </c>
      <c r="C7" s="32">
        <v>3</v>
      </c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3</v>
      </c>
      <c r="J7" s="39">
        <f t="shared" si="1"/>
        <v>3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3</v>
      </c>
      <c r="C8" s="42">
        <v>3</v>
      </c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3</v>
      </c>
      <c r="J8" s="49">
        <f t="shared" si="1"/>
        <v>3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28</v>
      </c>
      <c r="E9" s="13">
        <f>SUM(E10:E13)</f>
        <v>28</v>
      </c>
      <c r="F9" s="14">
        <f>COUNTIFS(_Classe,F3,_Esp2,1)</f>
        <v>10</v>
      </c>
      <c r="G9" s="15">
        <f>SUM(G10:G13)</f>
        <v>10</v>
      </c>
      <c r="H9" s="16">
        <f>COUNTIFS(_Classe,H3,_Esp2,1)</f>
        <v>0</v>
      </c>
      <c r="I9" s="17">
        <f t="shared" si="0"/>
        <v>38</v>
      </c>
      <c r="J9" s="18">
        <f t="shared" si="1"/>
        <v>38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26</v>
      </c>
      <c r="E10" s="24">
        <v>26</v>
      </c>
      <c r="F10" s="25">
        <f>COUNTIFS(_Classe,F3,_Esp2,1,_Sport,"",_Latin,"")</f>
        <v>6</v>
      </c>
      <c r="G10" s="26">
        <v>6</v>
      </c>
      <c r="H10" s="27">
        <f>COUNTIFS(_Classe,H3,_Esp2,1,_Sport,"",_Latin,"")</f>
        <v>0</v>
      </c>
      <c r="I10" s="28">
        <f t="shared" si="0"/>
        <v>32</v>
      </c>
      <c r="J10" s="29">
        <f t="shared" si="1"/>
        <v>32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4</v>
      </c>
      <c r="G11" s="36">
        <v>4</v>
      </c>
      <c r="H11" s="37">
        <f>COUNTIFS(_Classe,H3,_Esp2,1,_Sport,1,_Latin,"")</f>
        <v>0</v>
      </c>
      <c r="I11" s="38">
        <f t="shared" si="0"/>
        <v>4</v>
      </c>
      <c r="J11" s="39">
        <f t="shared" si="1"/>
        <v>4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2</v>
      </c>
      <c r="E12" s="34">
        <v>2</v>
      </c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2</v>
      </c>
      <c r="J12" s="39">
        <f t="shared" si="1"/>
        <v>2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27</v>
      </c>
      <c r="C20" s="11">
        <f t="shared" si="2"/>
        <v>27</v>
      </c>
      <c r="D20" s="12">
        <f t="shared" si="2"/>
        <v>28</v>
      </c>
      <c r="E20" s="13">
        <f t="shared" si="2"/>
        <v>28</v>
      </c>
      <c r="F20" s="14">
        <f t="shared" si="2"/>
        <v>27</v>
      </c>
      <c r="G20" s="15">
        <f t="shared" si="2"/>
        <v>27</v>
      </c>
      <c r="H20" s="16">
        <f t="shared" si="2"/>
        <v>0</v>
      </c>
      <c r="I20" s="17">
        <f t="shared" si="2"/>
        <v>82</v>
      </c>
      <c r="J20" s="18">
        <f t="shared" si="2"/>
        <v>82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17</v>
      </c>
      <c r="C21" s="53">
        <f t="shared" si="3"/>
        <v>16</v>
      </c>
      <c r="D21" s="33">
        <f t="shared" si="3"/>
        <v>26</v>
      </c>
      <c r="E21" s="54">
        <f t="shared" si="3"/>
        <v>26</v>
      </c>
      <c r="F21" s="35">
        <f t="shared" si="3"/>
        <v>17</v>
      </c>
      <c r="G21" s="55">
        <f t="shared" si="3"/>
        <v>18</v>
      </c>
      <c r="H21" s="37">
        <f t="shared" si="3"/>
        <v>0</v>
      </c>
      <c r="I21" s="38">
        <f t="shared" si="3"/>
        <v>60</v>
      </c>
      <c r="J21" s="39">
        <f t="shared" si="3"/>
        <v>60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4</v>
      </c>
      <c r="C22" s="53">
        <f t="shared" si="4"/>
        <v>5</v>
      </c>
      <c r="D22" s="33">
        <f t="shared" si="4"/>
        <v>0</v>
      </c>
      <c r="E22" s="54">
        <f t="shared" si="4"/>
        <v>0</v>
      </c>
      <c r="F22" s="35">
        <f t="shared" si="4"/>
        <v>10</v>
      </c>
      <c r="G22" s="55">
        <f t="shared" si="4"/>
        <v>9</v>
      </c>
      <c r="H22" s="37">
        <f t="shared" si="4"/>
        <v>0</v>
      </c>
      <c r="I22" s="38">
        <f t="shared" si="4"/>
        <v>14</v>
      </c>
      <c r="J22" s="39">
        <f t="shared" si="4"/>
        <v>14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3</v>
      </c>
      <c r="C23" s="53">
        <f t="shared" si="5"/>
        <v>3</v>
      </c>
      <c r="D23" s="33">
        <f t="shared" si="5"/>
        <v>2</v>
      </c>
      <c r="E23" s="54">
        <f t="shared" si="5"/>
        <v>2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5</v>
      </c>
      <c r="J23" s="39">
        <f t="shared" si="5"/>
        <v>5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3</v>
      </c>
      <c r="C24" s="56">
        <f t="shared" si="6"/>
        <v>3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3</v>
      </c>
      <c r="J24" s="49">
        <f t="shared" si="6"/>
        <v>3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7</v>
      </c>
      <c r="C25" s="60">
        <f t="shared" si="7"/>
        <v>8</v>
      </c>
      <c r="D25" s="23">
        <f t="shared" si="7"/>
        <v>0</v>
      </c>
      <c r="E25" s="61">
        <f t="shared" si="7"/>
        <v>0</v>
      </c>
      <c r="F25" s="25">
        <f t="shared" si="7"/>
        <v>10</v>
      </c>
      <c r="G25" s="62">
        <f t="shared" si="7"/>
        <v>9</v>
      </c>
      <c r="H25" s="27">
        <f t="shared" si="7"/>
        <v>0</v>
      </c>
      <c r="I25" s="28">
        <f t="shared" si="7"/>
        <v>17</v>
      </c>
      <c r="J25" s="29">
        <f t="shared" si="7"/>
        <v>17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6</v>
      </c>
      <c r="C26" s="56">
        <f t="shared" si="8"/>
        <v>6</v>
      </c>
      <c r="D26" s="43">
        <f t="shared" si="8"/>
        <v>2</v>
      </c>
      <c r="E26" s="57">
        <f t="shared" si="8"/>
        <v>2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8</v>
      </c>
      <c r="J26" s="49">
        <f t="shared" si="8"/>
        <v>8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28">
        <v>1</v>
      </c>
      <c r="E29" s="127">
        <v>3</v>
      </c>
    </row>
    <row r="30" spans="1:11" x14ac:dyDescent="0.25">
      <c r="B30" s="68" t="s">
        <v>18</v>
      </c>
      <c r="D30" s="126">
        <v>2</v>
      </c>
      <c r="E30" s="127">
        <v>3</v>
      </c>
    </row>
    <row r="31" spans="1:11" x14ac:dyDescent="0.25">
      <c r="B31" s="68" t="s">
        <v>15</v>
      </c>
      <c r="C31" s="128">
        <v>1</v>
      </c>
      <c r="E31" s="127">
        <v>3</v>
      </c>
    </row>
    <row r="32" spans="1:11" x14ac:dyDescent="0.25">
      <c r="B32" s="68" t="s">
        <v>137</v>
      </c>
      <c r="C32" s="128">
        <v>1</v>
      </c>
      <c r="D32" s="126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zoomScaleNormal="100" workbookViewId="0">
      <pane ySplit="18" topLeftCell="A19" activePane="bottomLeft" state="frozen"/>
      <selection pane="bottomLeft" activeCell="G74" sqref="G74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27</v>
      </c>
      <c r="D2" s="71">
        <f>COUNTIF(_Classe,D1)</f>
        <v>28</v>
      </c>
      <c r="E2" s="72">
        <f>COUNTIF(_Classe,E1)</f>
        <v>27</v>
      </c>
      <c r="F2" s="73">
        <f>COUNTIF(_Classe,"NA")</f>
        <v>0</v>
      </c>
      <c r="G2" s="74">
        <f>COUNTBLANK(_Classe)</f>
        <v>0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14</v>
      </c>
      <c r="D3" s="78">
        <f>COUNTIFS(_Classe,D1,_Sexe,B3)</f>
        <v>15</v>
      </c>
      <c r="E3" s="79">
        <f>COUNTIFS(_Classe,E1,_Sexe,B3)</f>
        <v>14</v>
      </c>
      <c r="F3" s="80">
        <f>COUNTIFS(_Classe,"NA",_Sexe,B3)</f>
        <v>0</v>
      </c>
      <c r="G3" s="81">
        <f>COUNTIFS(_Classe,"",_Sexe,B3)</f>
        <v>0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13</v>
      </c>
      <c r="D4" s="85">
        <f>COUNTIFS(_Classe,D1,_Sexe,B4)</f>
        <v>13</v>
      </c>
      <c r="E4" s="86">
        <f>COUNTIFS(_Classe,E1,_Sexe,B4)</f>
        <v>13</v>
      </c>
      <c r="F4" s="87">
        <f>COUNTIFS(_Classe,"NA",_Sexe,B4)</f>
        <v>0</v>
      </c>
      <c r="G4" s="88">
        <f>COUNTIFS(_Classe,"",_Sexe,B4)</f>
        <v>0</v>
      </c>
      <c r="H4" s="89">
        <f>SUM(C4:G4)</f>
        <v>39</v>
      </c>
    </row>
    <row r="5" spans="1:8" outlineLevel="1" x14ac:dyDescent="0.25">
      <c r="B5" s="90" t="s">
        <v>8</v>
      </c>
      <c r="C5" s="70">
        <f t="shared" ref="C5:H5" si="0">IF(C2&lt;&gt;0,ROUND(C3/C2*100,0),"*")</f>
        <v>52</v>
      </c>
      <c r="D5" s="71">
        <f t="shared" si="0"/>
        <v>54</v>
      </c>
      <c r="E5" s="72">
        <f t="shared" si="0"/>
        <v>52</v>
      </c>
      <c r="F5" s="73" t="str">
        <f t="shared" si="0"/>
        <v>*</v>
      </c>
      <c r="G5" s="74" t="str">
        <f t="shared" si="0"/>
        <v>*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6</v>
      </c>
      <c r="D6" s="78">
        <f>COUNTIFS(_Classe,D1,_Niveau,B6)</f>
        <v>9</v>
      </c>
      <c r="E6" s="79">
        <f>COUNTIFS(_Classe,E1,_Niveau,B6)</f>
        <v>9</v>
      </c>
      <c r="F6" s="80">
        <f>COUNTIFS(_Classe,"NA",_Niveau,B6)</f>
        <v>0</v>
      </c>
      <c r="G6" s="81">
        <f>COUNTIFS(_Classe,"",_Niveau,B6)</f>
        <v>0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7</v>
      </c>
      <c r="D7" s="94">
        <f>COUNTIFS(_Classe,D1,_Niveau,B7)</f>
        <v>7</v>
      </c>
      <c r="E7" s="95">
        <f>COUNTIFS(_Classe,E1,_Niveau,B7)</f>
        <v>6</v>
      </c>
      <c r="F7" s="96">
        <f>COUNTIFS(_Classe,"NA",_Niveau,B7)</f>
        <v>0</v>
      </c>
      <c r="G7" s="97">
        <f>COUNTIFS(_Classe,"",_Niveau,B7)</f>
        <v>0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6</v>
      </c>
      <c r="D8" s="94">
        <f>COUNTIFS(_Classe,D1,_Niveau,B8)</f>
        <v>7</v>
      </c>
      <c r="E8" s="95">
        <f>COUNTIFS(_Classe,E1,_Niveau,B8)</f>
        <v>6</v>
      </c>
      <c r="F8" s="96">
        <f>COUNTIFS(_Classe,"NA",_Niveau,B8)</f>
        <v>0</v>
      </c>
      <c r="G8" s="97">
        <f>COUNTIFS(_Classe,"",_Niveau,B8)</f>
        <v>0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4</v>
      </c>
      <c r="D9" s="94">
        <f>COUNTIFS(_Classe,D1,_Niveau,B9)</f>
        <v>2</v>
      </c>
      <c r="E9" s="95">
        <f>COUNTIFS(_Classe,E1,_Niveau,B9)</f>
        <v>1</v>
      </c>
      <c r="F9" s="96">
        <f>COUNTIFS(_Classe,"NA",_Niveau,B9)</f>
        <v>0</v>
      </c>
      <c r="G9" s="97">
        <f>COUNTIFS(_Classe,"",_Niveau,B9)</f>
        <v>0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4</v>
      </c>
      <c r="D10" s="85">
        <f>COUNTIFS(_Classe,D1,_Niveau,B10)</f>
        <v>3</v>
      </c>
      <c r="E10" s="86">
        <f>COUNTIFS(_Classe,E1,_Niveau,B10)</f>
        <v>5</v>
      </c>
      <c r="F10" s="87">
        <f>COUNTIFS(_Classe,"NA",_Niveau,B10)</f>
        <v>0</v>
      </c>
      <c r="G10" s="88">
        <f>COUNTIFS(_Classe,"",_Niveau,B10)</f>
        <v>0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3</v>
      </c>
      <c r="D11" s="104">
        <f>COUNTIFS(_Classe,D1,_Retard,"R")</f>
        <v>5</v>
      </c>
      <c r="E11" s="105">
        <f>COUNTIFS(_Classe,E1,_Retard,"R")</f>
        <v>2</v>
      </c>
      <c r="F11" s="106">
        <f>COUNTIFS(_Classe,"NA",_Retard,"R")</f>
        <v>0</v>
      </c>
      <c r="G11" s="107">
        <f>COUNTIFS(_Classe,"",_Retard,"R")</f>
        <v>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7</v>
      </c>
      <c r="D12" s="78">
        <f>COUNTIFS(_Classe,D1,_Sport,1)</f>
        <v>0</v>
      </c>
      <c r="E12" s="79">
        <f>COUNTIFS(_Classe,E1,_Sport,1)</f>
        <v>10</v>
      </c>
      <c r="F12" s="80">
        <f>COUNTIFS(_Classe,"NA",_Sport,1)</f>
        <v>0</v>
      </c>
      <c r="G12" s="81">
        <f>COUNTIFS(_Classe,"",_Sport,1)</f>
        <v>0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6</v>
      </c>
      <c r="D13" s="85">
        <f>COUNTIFS(_Classe,D1,_Latin,1)</f>
        <v>2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0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27</v>
      </c>
      <c r="D14" s="78">
        <f>COUNTIFS(_Classe,D1,_All2,1)</f>
        <v>0</v>
      </c>
      <c r="E14" s="79">
        <f>COUNTIFS(_Classe,E1,_All2,1)</f>
        <v>17</v>
      </c>
      <c r="F14" s="80">
        <f>COUNTIFS(_Classe,"NA",_All2,1)</f>
        <v>0</v>
      </c>
      <c r="G14" s="81">
        <f>COUNTIFS(_Classe,"",_All2,1)</f>
        <v>0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28</v>
      </c>
      <c r="E15" s="95">
        <f>COUNTIFS(_Classe,E1,_Esp2,1)</f>
        <v>10</v>
      </c>
      <c r="F15" s="96">
        <f>COUNTIFS(_Classe,"NA",_Esp2,1)</f>
        <v>0</v>
      </c>
      <c r="G15" s="97">
        <f>COUNTIFS(_Classe,"",_Esp2,1)</f>
        <v>0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32</v>
      </c>
      <c r="B19" s="123" t="s">
        <v>33</v>
      </c>
      <c r="C19" s="124" t="s">
        <v>6</v>
      </c>
      <c r="D19" s="124"/>
      <c r="E19" s="124" t="s">
        <v>10</v>
      </c>
      <c r="F19" s="124" t="s">
        <v>9</v>
      </c>
      <c r="G19" s="124">
        <v>2</v>
      </c>
      <c r="H19" s="124" t="s">
        <v>34</v>
      </c>
      <c r="I19" s="124"/>
      <c r="J19" s="124">
        <v>1</v>
      </c>
      <c r="K19" s="124"/>
      <c r="L19" s="124"/>
      <c r="M19" s="124"/>
      <c r="N19" s="125"/>
    </row>
    <row r="20" spans="1:14" s="114" customFormat="1" x14ac:dyDescent="0.25">
      <c r="A20" s="122" t="s">
        <v>35</v>
      </c>
      <c r="B20" s="123" t="s">
        <v>36</v>
      </c>
      <c r="C20" s="124" t="s">
        <v>6</v>
      </c>
      <c r="D20" s="124"/>
      <c r="E20" s="124" t="s">
        <v>10</v>
      </c>
      <c r="F20" s="124" t="s">
        <v>10</v>
      </c>
      <c r="G20" s="124">
        <v>3</v>
      </c>
      <c r="H20" s="124" t="s">
        <v>37</v>
      </c>
      <c r="I20" s="124">
        <v>1</v>
      </c>
      <c r="J20" s="124"/>
      <c r="K20" s="124"/>
      <c r="L20" s="124"/>
      <c r="M20" s="124"/>
      <c r="N20" s="125"/>
    </row>
    <row r="21" spans="1:14" s="114" customFormat="1" x14ac:dyDescent="0.25">
      <c r="A21" s="122" t="s">
        <v>38</v>
      </c>
      <c r="B21" s="123" t="s">
        <v>39</v>
      </c>
      <c r="C21" s="124" t="s">
        <v>7</v>
      </c>
      <c r="D21" s="124"/>
      <c r="E21" s="124" t="s">
        <v>9</v>
      </c>
      <c r="F21" s="124" t="s">
        <v>12</v>
      </c>
      <c r="G21" s="124">
        <v>2</v>
      </c>
      <c r="H21" s="124" t="s">
        <v>40</v>
      </c>
      <c r="I21" s="124"/>
      <c r="J21" s="124">
        <v>1</v>
      </c>
      <c r="K21" s="124"/>
      <c r="L21" s="124"/>
      <c r="M21" s="124"/>
      <c r="N21" s="125"/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>
        <v>1</v>
      </c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44</v>
      </c>
      <c r="B23" s="123" t="s">
        <v>45</v>
      </c>
      <c r="C23" s="124" t="s">
        <v>6</v>
      </c>
      <c r="D23" s="124"/>
      <c r="E23" s="124" t="s">
        <v>12</v>
      </c>
      <c r="F23" s="124" t="s">
        <v>9</v>
      </c>
      <c r="G23" s="124">
        <v>2</v>
      </c>
      <c r="H23" s="124" t="s">
        <v>46</v>
      </c>
      <c r="I23" s="124"/>
      <c r="J23" s="124">
        <v>1</v>
      </c>
      <c r="K23" s="124"/>
      <c r="L23" s="124"/>
      <c r="M23" s="124"/>
      <c r="N23" s="125" t="s">
        <v>47</v>
      </c>
    </row>
    <row r="24" spans="1:14" s="114" customFormat="1" x14ac:dyDescent="0.25">
      <c r="A24" s="122" t="s">
        <v>48</v>
      </c>
      <c r="B24" s="123" t="s">
        <v>49</v>
      </c>
      <c r="C24" s="124" t="s">
        <v>7</v>
      </c>
      <c r="D24" s="124"/>
      <c r="E24" s="124" t="s">
        <v>13</v>
      </c>
      <c r="F24" s="124" t="s">
        <v>13</v>
      </c>
      <c r="G24" s="124">
        <v>3</v>
      </c>
      <c r="H24" s="124" t="s">
        <v>50</v>
      </c>
      <c r="I24" s="124">
        <v>1</v>
      </c>
      <c r="J24" s="124"/>
      <c r="K24" s="124"/>
      <c r="L24" s="124"/>
      <c r="M24" s="124"/>
      <c r="N24" s="125"/>
    </row>
    <row r="25" spans="1:14" s="114" customFormat="1" x14ac:dyDescent="0.25">
      <c r="A25" s="122" t="s">
        <v>51</v>
      </c>
      <c r="B25" s="123" t="s">
        <v>52</v>
      </c>
      <c r="C25" s="124" t="s">
        <v>6</v>
      </c>
      <c r="D25" s="124"/>
      <c r="E25" s="124" t="s">
        <v>10</v>
      </c>
      <c r="F25" s="124" t="s">
        <v>10</v>
      </c>
      <c r="G25" s="124">
        <v>3</v>
      </c>
      <c r="H25" s="124" t="s">
        <v>53</v>
      </c>
      <c r="I25" s="124">
        <v>1</v>
      </c>
      <c r="J25" s="124"/>
      <c r="K25" s="124"/>
      <c r="L25" s="124"/>
      <c r="M25" s="124"/>
      <c r="N25" s="125" t="s">
        <v>54</v>
      </c>
    </row>
    <row r="26" spans="1:14" s="114" customFormat="1" x14ac:dyDescent="0.25">
      <c r="A26" s="122" t="s">
        <v>55</v>
      </c>
      <c r="B26" s="123" t="s">
        <v>56</v>
      </c>
      <c r="C26" s="124" t="s">
        <v>7</v>
      </c>
      <c r="D26" s="124"/>
      <c r="E26" s="124" t="s">
        <v>11</v>
      </c>
      <c r="F26" s="124" t="s">
        <v>12</v>
      </c>
      <c r="G26" s="124">
        <v>1</v>
      </c>
      <c r="H26" s="124" t="s">
        <v>37</v>
      </c>
      <c r="I26" s="124">
        <v>1</v>
      </c>
      <c r="J26" s="124"/>
      <c r="K26" s="124">
        <v>1</v>
      </c>
      <c r="L26" s="124" t="s">
        <v>57</v>
      </c>
      <c r="M26" s="124"/>
      <c r="N26" s="125" t="s">
        <v>58</v>
      </c>
    </row>
    <row r="27" spans="1:14" s="114" customFormat="1" x14ac:dyDescent="0.25">
      <c r="A27" s="122" t="s">
        <v>59</v>
      </c>
      <c r="B27" s="123" t="s">
        <v>39</v>
      </c>
      <c r="C27" s="124" t="s">
        <v>7</v>
      </c>
      <c r="D27" s="124"/>
      <c r="E27" s="124" t="s">
        <v>10</v>
      </c>
      <c r="F27" s="124" t="s">
        <v>10</v>
      </c>
      <c r="G27" s="124">
        <v>2</v>
      </c>
      <c r="H27" s="124" t="s">
        <v>60</v>
      </c>
      <c r="I27" s="124"/>
      <c r="J27" s="124">
        <v>1</v>
      </c>
      <c r="K27" s="124"/>
      <c r="L27" s="124"/>
      <c r="M27" s="124"/>
      <c r="N27" s="125" t="s">
        <v>43</v>
      </c>
    </row>
    <row r="28" spans="1:14" s="114" customFormat="1" x14ac:dyDescent="0.25">
      <c r="A28" s="122" t="s">
        <v>32</v>
      </c>
      <c r="B28" s="123" t="s">
        <v>61</v>
      </c>
      <c r="C28" s="124" t="s">
        <v>6</v>
      </c>
      <c r="D28" s="124"/>
      <c r="E28" s="124" t="s">
        <v>12</v>
      </c>
      <c r="F28" s="124" t="s">
        <v>10</v>
      </c>
      <c r="G28" s="124">
        <v>1</v>
      </c>
      <c r="H28" s="124" t="s">
        <v>40</v>
      </c>
      <c r="I28" s="124">
        <v>1</v>
      </c>
      <c r="J28" s="124"/>
      <c r="K28" s="124">
        <v>1</v>
      </c>
      <c r="L28" s="124" t="s">
        <v>62</v>
      </c>
      <c r="M28" s="124">
        <v>1</v>
      </c>
      <c r="N28" s="125" t="s">
        <v>54</v>
      </c>
    </row>
    <row r="29" spans="1:14" s="114" customFormat="1" x14ac:dyDescent="0.25">
      <c r="A29" s="122" t="s">
        <v>63</v>
      </c>
      <c r="B29" s="123" t="s">
        <v>64</v>
      </c>
      <c r="C29" s="124" t="s">
        <v>6</v>
      </c>
      <c r="D29" s="124"/>
      <c r="E29" s="124" t="s">
        <v>11</v>
      </c>
      <c r="F29" s="124" t="s">
        <v>10</v>
      </c>
      <c r="G29" s="124">
        <v>3</v>
      </c>
      <c r="H29" s="124" t="s">
        <v>65</v>
      </c>
      <c r="I29" s="124">
        <v>1</v>
      </c>
      <c r="J29" s="124"/>
      <c r="K29" s="124"/>
      <c r="L29" s="124"/>
      <c r="M29" s="124"/>
      <c r="N29" s="125" t="s">
        <v>66</v>
      </c>
    </row>
    <row r="30" spans="1:14" s="114" customFormat="1" x14ac:dyDescent="0.25">
      <c r="A30" s="122" t="s">
        <v>67</v>
      </c>
      <c r="B30" s="123" t="s">
        <v>68</v>
      </c>
      <c r="C30" s="124" t="s">
        <v>6</v>
      </c>
      <c r="D30" s="124"/>
      <c r="E30" s="124" t="s">
        <v>9</v>
      </c>
      <c r="F30" s="124" t="s">
        <v>10</v>
      </c>
      <c r="G30" s="124">
        <v>2</v>
      </c>
      <c r="H30" s="124" t="s">
        <v>65</v>
      </c>
      <c r="I30" s="124"/>
      <c r="J30" s="124">
        <v>1</v>
      </c>
      <c r="K30" s="124"/>
      <c r="L30" s="124"/>
      <c r="M30" s="124"/>
      <c r="N30" s="125" t="s">
        <v>69</v>
      </c>
    </row>
    <row r="31" spans="1:14" s="114" customFormat="1" x14ac:dyDescent="0.25">
      <c r="A31" s="122" t="s">
        <v>70</v>
      </c>
      <c r="B31" s="123" t="s">
        <v>71</v>
      </c>
      <c r="C31" s="124" t="s">
        <v>6</v>
      </c>
      <c r="D31" s="124"/>
      <c r="E31" s="124" t="s">
        <v>11</v>
      </c>
      <c r="F31" s="124" t="s">
        <v>9</v>
      </c>
      <c r="G31" s="124">
        <v>3</v>
      </c>
      <c r="H31" s="124" t="s">
        <v>72</v>
      </c>
      <c r="I31" s="124"/>
      <c r="J31" s="124">
        <v>1</v>
      </c>
      <c r="K31" s="124">
        <v>1</v>
      </c>
      <c r="L31" s="124" t="s">
        <v>57</v>
      </c>
      <c r="M31" s="124"/>
      <c r="N31" s="125" t="s">
        <v>47</v>
      </c>
    </row>
    <row r="32" spans="1:14" s="114" customFormat="1" x14ac:dyDescent="0.25">
      <c r="A32" s="122" t="s">
        <v>73</v>
      </c>
      <c r="B32" s="123" t="s">
        <v>74</v>
      </c>
      <c r="C32" s="124" t="s">
        <v>7</v>
      </c>
      <c r="D32" s="124"/>
      <c r="E32" s="124" t="s">
        <v>11</v>
      </c>
      <c r="F32" s="124" t="s">
        <v>9</v>
      </c>
      <c r="G32" s="124">
        <v>2</v>
      </c>
      <c r="H32" s="124" t="s">
        <v>60</v>
      </c>
      <c r="I32" s="124"/>
      <c r="J32" s="124">
        <v>1</v>
      </c>
      <c r="K32" s="124"/>
      <c r="L32" s="124"/>
      <c r="M32" s="124">
        <v>1</v>
      </c>
      <c r="N32" s="125" t="s">
        <v>69</v>
      </c>
    </row>
    <row r="33" spans="1:14" s="114" customFormat="1" x14ac:dyDescent="0.25">
      <c r="A33" s="122" t="s">
        <v>75</v>
      </c>
      <c r="B33" s="123" t="s">
        <v>74</v>
      </c>
      <c r="C33" s="124" t="s">
        <v>7</v>
      </c>
      <c r="D33" s="124"/>
      <c r="E33" s="124" t="s">
        <v>11</v>
      </c>
      <c r="F33" s="124" t="s">
        <v>9</v>
      </c>
      <c r="G33" s="124">
        <v>2</v>
      </c>
      <c r="H33" s="124" t="s">
        <v>50</v>
      </c>
      <c r="I33" s="124"/>
      <c r="J33" s="124">
        <v>1</v>
      </c>
      <c r="K33" s="124"/>
      <c r="L33" s="124"/>
      <c r="M33" s="124"/>
      <c r="N33" s="125" t="s">
        <v>43</v>
      </c>
    </row>
    <row r="34" spans="1:14" s="114" customFormat="1" x14ac:dyDescent="0.25">
      <c r="A34" s="122" t="s">
        <v>38</v>
      </c>
      <c r="B34" s="123" t="s">
        <v>49</v>
      </c>
      <c r="C34" s="124" t="s">
        <v>7</v>
      </c>
      <c r="D34" s="124"/>
      <c r="E34" s="124" t="s">
        <v>13</v>
      </c>
      <c r="F34" s="124" t="s">
        <v>10</v>
      </c>
      <c r="G34" s="124">
        <v>3</v>
      </c>
      <c r="H34" s="124" t="s">
        <v>60</v>
      </c>
      <c r="I34" s="124">
        <v>1</v>
      </c>
      <c r="J34" s="124"/>
      <c r="K34" s="124"/>
      <c r="L34" s="124"/>
      <c r="M34" s="124"/>
      <c r="N34" s="125" t="s">
        <v>76</v>
      </c>
    </row>
    <row r="35" spans="1:14" s="114" customFormat="1" x14ac:dyDescent="0.25">
      <c r="A35" s="122" t="s">
        <v>77</v>
      </c>
      <c r="B35" s="123" t="s">
        <v>78</v>
      </c>
      <c r="C35" s="124" t="s">
        <v>7</v>
      </c>
      <c r="D35" s="124"/>
      <c r="E35" s="124" t="s">
        <v>13</v>
      </c>
      <c r="F35" s="124" t="s">
        <v>9</v>
      </c>
      <c r="G35" s="124">
        <v>2</v>
      </c>
      <c r="H35" s="124" t="s">
        <v>72</v>
      </c>
      <c r="I35" s="124"/>
      <c r="J35" s="124">
        <v>1</v>
      </c>
      <c r="K35" s="124"/>
      <c r="L35" s="124"/>
      <c r="M35" s="124"/>
      <c r="N35" s="125" t="s">
        <v>69</v>
      </c>
    </row>
    <row r="36" spans="1:14" s="114" customFormat="1" x14ac:dyDescent="0.25">
      <c r="A36" s="122" t="s">
        <v>44</v>
      </c>
      <c r="B36" s="123" t="s">
        <v>79</v>
      </c>
      <c r="C36" s="124" t="s">
        <v>7</v>
      </c>
      <c r="D36" s="124"/>
      <c r="E36" s="124" t="s">
        <v>10</v>
      </c>
      <c r="F36" s="124" t="s">
        <v>9</v>
      </c>
      <c r="G36" s="124">
        <v>2</v>
      </c>
      <c r="H36" s="124" t="s">
        <v>50</v>
      </c>
      <c r="I36" s="124"/>
      <c r="J36" s="124">
        <v>1</v>
      </c>
      <c r="K36" s="124"/>
      <c r="L36" s="124"/>
      <c r="M36" s="124"/>
      <c r="N36" s="125" t="s">
        <v>47</v>
      </c>
    </row>
    <row r="37" spans="1:14" s="114" customFormat="1" x14ac:dyDescent="0.25">
      <c r="A37" s="122" t="s">
        <v>70</v>
      </c>
      <c r="B37" s="123" t="s">
        <v>80</v>
      </c>
      <c r="C37" s="124" t="s">
        <v>7</v>
      </c>
      <c r="D37" s="124"/>
      <c r="E37" s="124" t="s">
        <v>9</v>
      </c>
      <c r="F37" s="124" t="s">
        <v>9</v>
      </c>
      <c r="G37" s="124">
        <v>1</v>
      </c>
      <c r="H37" s="124" t="s">
        <v>40</v>
      </c>
      <c r="I37" s="124">
        <v>1</v>
      </c>
      <c r="J37" s="124"/>
      <c r="K37" s="124">
        <v>1</v>
      </c>
      <c r="L37" s="124" t="s">
        <v>62</v>
      </c>
      <c r="M37" s="124"/>
      <c r="N37" s="125" t="s">
        <v>81</v>
      </c>
    </row>
    <row r="38" spans="1:14" s="114" customFormat="1" x14ac:dyDescent="0.25">
      <c r="A38" s="122" t="s">
        <v>82</v>
      </c>
      <c r="B38" s="123" t="s">
        <v>79</v>
      </c>
      <c r="C38" s="124" t="s">
        <v>7</v>
      </c>
      <c r="D38" s="124"/>
      <c r="E38" s="124" t="s">
        <v>9</v>
      </c>
      <c r="F38" s="124" t="s">
        <v>10</v>
      </c>
      <c r="G38" s="124">
        <v>3</v>
      </c>
      <c r="H38" s="124" t="s">
        <v>46</v>
      </c>
      <c r="I38" s="124"/>
      <c r="J38" s="124">
        <v>1</v>
      </c>
      <c r="K38" s="124"/>
      <c r="L38" s="124"/>
      <c r="M38" s="124"/>
      <c r="N38" s="125" t="s">
        <v>47</v>
      </c>
    </row>
    <row r="39" spans="1:14" s="114" customFormat="1" x14ac:dyDescent="0.25">
      <c r="A39" s="122" t="s">
        <v>83</v>
      </c>
      <c r="B39" s="123" t="s">
        <v>84</v>
      </c>
      <c r="C39" s="124" t="s">
        <v>7</v>
      </c>
      <c r="D39" s="124"/>
      <c r="E39" s="124" t="s">
        <v>10</v>
      </c>
      <c r="F39" s="124" t="s">
        <v>11</v>
      </c>
      <c r="G39" s="124">
        <v>2</v>
      </c>
      <c r="H39" s="124" t="s">
        <v>50</v>
      </c>
      <c r="I39" s="124"/>
      <c r="J39" s="124">
        <v>1</v>
      </c>
      <c r="K39" s="124"/>
      <c r="L39" s="124"/>
      <c r="M39" s="124"/>
      <c r="N39" s="125"/>
    </row>
    <row r="40" spans="1:14" s="114" customFormat="1" x14ac:dyDescent="0.25">
      <c r="A40" s="122" t="s">
        <v>85</v>
      </c>
      <c r="B40" s="123" t="s">
        <v>86</v>
      </c>
      <c r="C40" s="124" t="s">
        <v>6</v>
      </c>
      <c r="D40" s="124"/>
      <c r="E40" s="124" t="s">
        <v>13</v>
      </c>
      <c r="F40" s="124" t="s">
        <v>10</v>
      </c>
      <c r="G40" s="124">
        <v>3</v>
      </c>
      <c r="H40" s="124" t="s">
        <v>40</v>
      </c>
      <c r="I40" s="124">
        <v>1</v>
      </c>
      <c r="J40" s="124"/>
      <c r="K40" s="124">
        <v>1</v>
      </c>
      <c r="L40" s="124" t="s">
        <v>87</v>
      </c>
      <c r="M40" s="124"/>
      <c r="N40" s="125" t="s">
        <v>54</v>
      </c>
    </row>
    <row r="41" spans="1:14" s="114" customFormat="1" x14ac:dyDescent="0.25">
      <c r="A41" s="122" t="s">
        <v>41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>
        <v>2</v>
      </c>
      <c r="H41" s="124" t="s">
        <v>65</v>
      </c>
      <c r="I41" s="124"/>
      <c r="J41" s="124">
        <v>1</v>
      </c>
      <c r="K41" s="124"/>
      <c r="L41" s="124"/>
      <c r="M41" s="124"/>
      <c r="N41" s="125" t="s">
        <v>58</v>
      </c>
    </row>
    <row r="42" spans="1:14" s="114" customFormat="1" x14ac:dyDescent="0.25">
      <c r="A42" s="122" t="s">
        <v>89</v>
      </c>
      <c r="B42" s="123" t="s">
        <v>86</v>
      </c>
      <c r="C42" s="124" t="s">
        <v>6</v>
      </c>
      <c r="D42" s="124"/>
      <c r="E42" s="124" t="s">
        <v>10</v>
      </c>
      <c r="F42" s="124" t="s">
        <v>9</v>
      </c>
      <c r="G42" s="124">
        <v>2</v>
      </c>
      <c r="H42" s="124" t="s">
        <v>34</v>
      </c>
      <c r="I42" s="124"/>
      <c r="J42" s="124">
        <v>1</v>
      </c>
      <c r="K42" s="124"/>
      <c r="L42" s="124"/>
      <c r="M42" s="124"/>
      <c r="N42" s="125" t="s">
        <v>54</v>
      </c>
    </row>
    <row r="43" spans="1:14" s="114" customFormat="1" x14ac:dyDescent="0.25">
      <c r="A43" s="122" t="s">
        <v>90</v>
      </c>
      <c r="B43" s="123" t="s">
        <v>91</v>
      </c>
      <c r="C43" s="124" t="s">
        <v>6</v>
      </c>
      <c r="D43" s="124"/>
      <c r="E43" s="124" t="s">
        <v>9</v>
      </c>
      <c r="F43" s="124" t="s">
        <v>11</v>
      </c>
      <c r="G43" s="124">
        <v>3</v>
      </c>
      <c r="H43" s="124" t="s">
        <v>50</v>
      </c>
      <c r="I43" s="124"/>
      <c r="J43" s="124">
        <v>1</v>
      </c>
      <c r="K43" s="124"/>
      <c r="L43" s="124"/>
      <c r="M43" s="124"/>
      <c r="N43" s="125"/>
    </row>
    <row r="44" spans="1:14" s="114" customFormat="1" x14ac:dyDescent="0.25">
      <c r="A44" s="122" t="s">
        <v>35</v>
      </c>
      <c r="B44" s="123" t="s">
        <v>80</v>
      </c>
      <c r="C44" s="124" t="s">
        <v>7</v>
      </c>
      <c r="D44" s="124" t="s">
        <v>14</v>
      </c>
      <c r="E44" s="124" t="s">
        <v>10</v>
      </c>
      <c r="F44" s="124" t="s">
        <v>9</v>
      </c>
      <c r="G44" s="124">
        <v>2</v>
      </c>
      <c r="H44" s="124" t="s">
        <v>37</v>
      </c>
      <c r="I44" s="124"/>
      <c r="J44" s="124">
        <v>1</v>
      </c>
      <c r="K44" s="124"/>
      <c r="L44" s="124"/>
      <c r="M44" s="124"/>
      <c r="N44" s="125"/>
    </row>
    <row r="45" spans="1:14" s="114" customFormat="1" x14ac:dyDescent="0.25">
      <c r="A45" s="122" t="s">
        <v>35</v>
      </c>
      <c r="B45" s="123" t="s">
        <v>92</v>
      </c>
      <c r="C45" s="124" t="s">
        <v>7</v>
      </c>
      <c r="D45" s="124"/>
      <c r="E45" s="124" t="s">
        <v>9</v>
      </c>
      <c r="F45" s="124" t="s">
        <v>10</v>
      </c>
      <c r="G45" s="124">
        <v>2</v>
      </c>
      <c r="H45" s="124" t="s">
        <v>53</v>
      </c>
      <c r="I45" s="124"/>
      <c r="J45" s="124">
        <v>1</v>
      </c>
      <c r="K45" s="124"/>
      <c r="L45" s="124"/>
      <c r="M45" s="124">
        <v>1</v>
      </c>
      <c r="N45" s="125" t="s">
        <v>58</v>
      </c>
    </row>
    <row r="46" spans="1:14" s="114" customFormat="1" x14ac:dyDescent="0.25">
      <c r="A46" s="122" t="s">
        <v>93</v>
      </c>
      <c r="B46" s="123" t="s">
        <v>94</v>
      </c>
      <c r="C46" s="124" t="s">
        <v>6</v>
      </c>
      <c r="D46" s="124" t="s">
        <v>14</v>
      </c>
      <c r="E46" s="124" t="s">
        <v>11</v>
      </c>
      <c r="F46" s="124" t="s">
        <v>11</v>
      </c>
      <c r="G46" s="124">
        <v>2</v>
      </c>
      <c r="H46" s="124" t="s">
        <v>46</v>
      </c>
      <c r="I46" s="124"/>
      <c r="J46" s="124">
        <v>1</v>
      </c>
      <c r="K46" s="124"/>
      <c r="L46" s="124"/>
      <c r="M46" s="124"/>
      <c r="N46" s="125" t="s">
        <v>66</v>
      </c>
    </row>
    <row r="47" spans="1:14" s="114" customFormat="1" x14ac:dyDescent="0.25">
      <c r="A47" s="122" t="s">
        <v>95</v>
      </c>
      <c r="B47" s="123" t="s">
        <v>45</v>
      </c>
      <c r="C47" s="124" t="s">
        <v>6</v>
      </c>
      <c r="D47" s="124"/>
      <c r="E47" s="124" t="s">
        <v>10</v>
      </c>
      <c r="F47" s="124" t="s">
        <v>9</v>
      </c>
      <c r="G47" s="124">
        <v>3</v>
      </c>
      <c r="H47" s="124" t="s">
        <v>40</v>
      </c>
      <c r="I47" s="124">
        <v>1</v>
      </c>
      <c r="J47" s="124"/>
      <c r="K47" s="124"/>
      <c r="L47" s="124"/>
      <c r="M47" s="124"/>
      <c r="N47" s="125" t="s">
        <v>58</v>
      </c>
    </row>
    <row r="48" spans="1:14" s="114" customFormat="1" x14ac:dyDescent="0.25">
      <c r="A48" s="122" t="s">
        <v>96</v>
      </c>
      <c r="B48" s="123" t="s">
        <v>74</v>
      </c>
      <c r="C48" s="124" t="s">
        <v>7</v>
      </c>
      <c r="D48" s="124"/>
      <c r="E48" s="124" t="s">
        <v>9</v>
      </c>
      <c r="F48" s="124" t="s">
        <v>13</v>
      </c>
      <c r="G48" s="124">
        <v>3</v>
      </c>
      <c r="H48" s="124" t="s">
        <v>53</v>
      </c>
      <c r="I48" s="124">
        <v>1</v>
      </c>
      <c r="J48" s="124"/>
      <c r="K48" s="124"/>
      <c r="L48" s="124"/>
      <c r="M48" s="124"/>
      <c r="N48" s="125"/>
    </row>
    <row r="49" spans="1:14" s="114" customFormat="1" x14ac:dyDescent="0.25">
      <c r="A49" s="122" t="s">
        <v>55</v>
      </c>
      <c r="B49" s="123" t="s">
        <v>97</v>
      </c>
      <c r="C49" s="124" t="s">
        <v>7</v>
      </c>
      <c r="D49" s="124"/>
      <c r="E49" s="124" t="s">
        <v>9</v>
      </c>
      <c r="F49" s="124" t="s">
        <v>9</v>
      </c>
      <c r="G49" s="124">
        <v>3</v>
      </c>
      <c r="H49" s="124" t="s">
        <v>34</v>
      </c>
      <c r="I49" s="124">
        <v>1</v>
      </c>
      <c r="J49" s="124"/>
      <c r="K49" s="124"/>
      <c r="L49" s="124"/>
      <c r="M49" s="124"/>
      <c r="N49" s="125" t="s">
        <v>66</v>
      </c>
    </row>
    <row r="50" spans="1:14" s="114" customFormat="1" x14ac:dyDescent="0.25">
      <c r="A50" s="122" t="s">
        <v>59</v>
      </c>
      <c r="B50" s="123" t="s">
        <v>98</v>
      </c>
      <c r="C50" s="124" t="s">
        <v>6</v>
      </c>
      <c r="D50" s="124"/>
      <c r="E50" s="124" t="s">
        <v>11</v>
      </c>
      <c r="F50" s="124" t="s">
        <v>10</v>
      </c>
      <c r="G50" s="124">
        <v>1</v>
      </c>
      <c r="H50" s="124" t="s">
        <v>65</v>
      </c>
      <c r="I50" s="124">
        <v>1</v>
      </c>
      <c r="J50" s="124"/>
      <c r="K50" s="124"/>
      <c r="L50" s="124"/>
      <c r="M50" s="124"/>
      <c r="N50" s="125"/>
    </row>
    <row r="51" spans="1:14" s="114" customFormat="1" x14ac:dyDescent="0.25">
      <c r="A51" s="122" t="s">
        <v>99</v>
      </c>
      <c r="B51" s="123" t="s">
        <v>56</v>
      </c>
      <c r="C51" s="124" t="s">
        <v>7</v>
      </c>
      <c r="D51" s="124"/>
      <c r="E51" s="124" t="s">
        <v>10</v>
      </c>
      <c r="F51" s="124" t="s">
        <v>9</v>
      </c>
      <c r="G51" s="124">
        <v>1</v>
      </c>
      <c r="H51" s="124" t="s">
        <v>53</v>
      </c>
      <c r="I51" s="124">
        <v>1</v>
      </c>
      <c r="J51" s="124"/>
      <c r="K51" s="124"/>
      <c r="L51" s="124"/>
      <c r="M51" s="124">
        <v>1</v>
      </c>
      <c r="N51" s="125"/>
    </row>
    <row r="52" spans="1:14" s="114" customFormat="1" x14ac:dyDescent="0.25">
      <c r="A52" s="122" t="s">
        <v>100</v>
      </c>
      <c r="B52" s="123" t="s">
        <v>97</v>
      </c>
      <c r="C52" s="124" t="s">
        <v>7</v>
      </c>
      <c r="D52" s="124"/>
      <c r="E52" s="124" t="s">
        <v>10</v>
      </c>
      <c r="F52" s="124" t="s">
        <v>10</v>
      </c>
      <c r="G52" s="124">
        <v>2</v>
      </c>
      <c r="H52" s="124" t="s">
        <v>65</v>
      </c>
      <c r="I52" s="124"/>
      <c r="J52" s="124">
        <v>1</v>
      </c>
      <c r="K52" s="124"/>
      <c r="L52" s="124"/>
      <c r="M52" s="124"/>
      <c r="N52" s="125"/>
    </row>
    <row r="53" spans="1:14" s="114" customFormat="1" x14ac:dyDescent="0.25">
      <c r="A53" s="122" t="s">
        <v>93</v>
      </c>
      <c r="B53" s="123" t="s">
        <v>74</v>
      </c>
      <c r="C53" s="124" t="s">
        <v>7</v>
      </c>
      <c r="D53" s="124"/>
      <c r="E53" s="124" t="s">
        <v>11</v>
      </c>
      <c r="F53" s="124" t="s">
        <v>12</v>
      </c>
      <c r="G53" s="124">
        <v>3</v>
      </c>
      <c r="H53" s="124" t="s">
        <v>34</v>
      </c>
      <c r="I53" s="124"/>
      <c r="J53" s="124">
        <v>1</v>
      </c>
      <c r="K53" s="124">
        <v>1</v>
      </c>
      <c r="L53" s="124" t="s">
        <v>87</v>
      </c>
      <c r="M53" s="124"/>
      <c r="N53" s="125"/>
    </row>
    <row r="54" spans="1:14" s="114" customFormat="1" x14ac:dyDescent="0.25">
      <c r="A54" s="122" t="s">
        <v>41</v>
      </c>
      <c r="B54" s="123" t="s">
        <v>101</v>
      </c>
      <c r="C54" s="124" t="s">
        <v>6</v>
      </c>
      <c r="D54" s="124"/>
      <c r="E54" s="124" t="s">
        <v>9</v>
      </c>
      <c r="F54" s="124" t="s">
        <v>10</v>
      </c>
      <c r="G54" s="124">
        <v>2</v>
      </c>
      <c r="H54" s="124" t="s">
        <v>50</v>
      </c>
      <c r="I54" s="124"/>
      <c r="J54" s="124">
        <v>1</v>
      </c>
      <c r="K54" s="124"/>
      <c r="L54" s="124"/>
      <c r="M54" s="124"/>
      <c r="N54" s="125" t="s">
        <v>43</v>
      </c>
    </row>
    <row r="55" spans="1:14" s="114" customFormat="1" x14ac:dyDescent="0.25">
      <c r="A55" s="122" t="s">
        <v>82</v>
      </c>
      <c r="B55" s="123" t="s">
        <v>79</v>
      </c>
      <c r="C55" s="124" t="s">
        <v>7</v>
      </c>
      <c r="D55" s="124"/>
      <c r="E55" s="124" t="s">
        <v>9</v>
      </c>
      <c r="F55" s="124" t="s">
        <v>11</v>
      </c>
      <c r="G55" s="124">
        <v>1</v>
      </c>
      <c r="H55" s="124" t="s">
        <v>53</v>
      </c>
      <c r="I55" s="124">
        <v>1</v>
      </c>
      <c r="J55" s="124"/>
      <c r="K55" s="124">
        <v>1</v>
      </c>
      <c r="L55" s="124" t="s">
        <v>87</v>
      </c>
      <c r="M55" s="124"/>
      <c r="N55" s="125"/>
    </row>
    <row r="56" spans="1:14" s="114" customFormat="1" x14ac:dyDescent="0.25">
      <c r="A56" s="122" t="s">
        <v>102</v>
      </c>
      <c r="B56" s="123" t="s">
        <v>45</v>
      </c>
      <c r="C56" s="124" t="s">
        <v>6</v>
      </c>
      <c r="D56" s="124"/>
      <c r="E56" s="124" t="s">
        <v>11</v>
      </c>
      <c r="F56" s="124" t="s">
        <v>10</v>
      </c>
      <c r="G56" s="124">
        <v>3</v>
      </c>
      <c r="H56" s="124" t="s">
        <v>65</v>
      </c>
      <c r="I56" s="124">
        <v>1</v>
      </c>
      <c r="J56" s="124"/>
      <c r="K56" s="124"/>
      <c r="L56" s="124"/>
      <c r="M56" s="124"/>
      <c r="N56" s="125" t="s">
        <v>66</v>
      </c>
    </row>
    <row r="57" spans="1:14" s="114" customFormat="1" x14ac:dyDescent="0.25">
      <c r="A57" s="122" t="s">
        <v>103</v>
      </c>
      <c r="B57" s="123" t="s">
        <v>104</v>
      </c>
      <c r="C57" s="124" t="s">
        <v>7</v>
      </c>
      <c r="D57" s="124"/>
      <c r="E57" s="124" t="s">
        <v>13</v>
      </c>
      <c r="F57" s="124" t="s">
        <v>9</v>
      </c>
      <c r="G57" s="124">
        <v>3</v>
      </c>
      <c r="H57" s="124" t="s">
        <v>40</v>
      </c>
      <c r="I57" s="124">
        <v>1</v>
      </c>
      <c r="J57" s="124"/>
      <c r="K57" s="124"/>
      <c r="L57" s="124"/>
      <c r="M57" s="124"/>
      <c r="N57" s="125" t="s">
        <v>69</v>
      </c>
    </row>
    <row r="58" spans="1:14" s="114" customFormat="1" x14ac:dyDescent="0.25">
      <c r="A58" s="122" t="s">
        <v>59</v>
      </c>
      <c r="B58" s="123" t="s">
        <v>61</v>
      </c>
      <c r="C58" s="124" t="s">
        <v>6</v>
      </c>
      <c r="D58" s="124"/>
      <c r="E58" s="124" t="s">
        <v>9</v>
      </c>
      <c r="F58" s="124" t="s">
        <v>11</v>
      </c>
      <c r="G58" s="124">
        <v>3</v>
      </c>
      <c r="H58" s="124" t="s">
        <v>65</v>
      </c>
      <c r="I58" s="124">
        <v>1</v>
      </c>
      <c r="J58" s="124"/>
      <c r="K58" s="124">
        <v>1</v>
      </c>
      <c r="L58" s="124" t="s">
        <v>87</v>
      </c>
      <c r="M58" s="124"/>
      <c r="N58" s="125"/>
    </row>
    <row r="59" spans="1:14" s="114" customFormat="1" x14ac:dyDescent="0.25">
      <c r="A59" s="122" t="s">
        <v>35</v>
      </c>
      <c r="B59" s="123" t="s">
        <v>42</v>
      </c>
      <c r="C59" s="124" t="s">
        <v>6</v>
      </c>
      <c r="D59" s="124"/>
      <c r="E59" s="124" t="s">
        <v>13</v>
      </c>
      <c r="F59" s="124" t="s">
        <v>10</v>
      </c>
      <c r="G59" s="124">
        <v>1</v>
      </c>
      <c r="H59" s="124" t="s">
        <v>60</v>
      </c>
      <c r="I59" s="124">
        <v>1</v>
      </c>
      <c r="J59" s="124"/>
      <c r="K59" s="124"/>
      <c r="L59" s="124"/>
      <c r="M59" s="124"/>
      <c r="N59" s="125" t="s">
        <v>76</v>
      </c>
    </row>
    <row r="60" spans="1:14" s="114" customFormat="1" x14ac:dyDescent="0.25">
      <c r="A60" s="122" t="s">
        <v>105</v>
      </c>
      <c r="B60" s="123" t="s">
        <v>106</v>
      </c>
      <c r="C60" s="124" t="s">
        <v>6</v>
      </c>
      <c r="D60" s="124"/>
      <c r="E60" s="124" t="s">
        <v>13</v>
      </c>
      <c r="F60" s="124" t="s">
        <v>10</v>
      </c>
      <c r="G60" s="124">
        <v>2</v>
      </c>
      <c r="H60" s="124" t="s">
        <v>34</v>
      </c>
      <c r="I60" s="124"/>
      <c r="J60" s="124">
        <v>1</v>
      </c>
      <c r="K60" s="124"/>
      <c r="L60" s="124"/>
      <c r="M60" s="124"/>
      <c r="N60" s="125" t="s">
        <v>58</v>
      </c>
    </row>
    <row r="61" spans="1:14" s="114" customFormat="1" x14ac:dyDescent="0.25">
      <c r="A61" s="122" t="s">
        <v>67</v>
      </c>
      <c r="B61" s="123" t="s">
        <v>94</v>
      </c>
      <c r="C61" s="124" t="s">
        <v>6</v>
      </c>
      <c r="D61" s="124"/>
      <c r="E61" s="124" t="s">
        <v>9</v>
      </c>
      <c r="F61" s="124" t="s">
        <v>9</v>
      </c>
      <c r="G61" s="124">
        <v>2</v>
      </c>
      <c r="H61" s="124" t="s">
        <v>40</v>
      </c>
      <c r="I61" s="124"/>
      <c r="J61" s="124">
        <v>1</v>
      </c>
      <c r="K61" s="124"/>
      <c r="L61" s="124"/>
      <c r="M61" s="124"/>
      <c r="N61" s="125"/>
    </row>
    <row r="62" spans="1:14" s="114" customFormat="1" x14ac:dyDescent="0.25">
      <c r="A62" s="122" t="s">
        <v>107</v>
      </c>
      <c r="B62" s="123" t="s">
        <v>108</v>
      </c>
      <c r="C62" s="124" t="s">
        <v>7</v>
      </c>
      <c r="D62" s="124" t="s">
        <v>14</v>
      </c>
      <c r="E62" s="124" t="s">
        <v>12</v>
      </c>
      <c r="F62" s="124" t="s">
        <v>9</v>
      </c>
      <c r="G62" s="124">
        <v>1</v>
      </c>
      <c r="H62" s="124" t="s">
        <v>50</v>
      </c>
      <c r="I62" s="124">
        <v>1</v>
      </c>
      <c r="J62" s="124"/>
      <c r="K62" s="124"/>
      <c r="L62" s="124"/>
      <c r="M62" s="124"/>
      <c r="N62" s="125" t="s">
        <v>43</v>
      </c>
    </row>
    <row r="63" spans="1:14" s="114" customFormat="1" x14ac:dyDescent="0.25">
      <c r="A63" s="122" t="s">
        <v>109</v>
      </c>
      <c r="B63" s="123" t="s">
        <v>104</v>
      </c>
      <c r="C63" s="124" t="s">
        <v>7</v>
      </c>
      <c r="D63" s="124" t="s">
        <v>14</v>
      </c>
      <c r="E63" s="124" t="s">
        <v>11</v>
      </c>
      <c r="F63" s="124" t="s">
        <v>12</v>
      </c>
      <c r="G63" s="124">
        <v>1</v>
      </c>
      <c r="H63" s="124" t="s">
        <v>40</v>
      </c>
      <c r="I63" s="124">
        <v>1</v>
      </c>
      <c r="J63" s="124"/>
      <c r="K63" s="124"/>
      <c r="L63" s="124"/>
      <c r="M63" s="124"/>
      <c r="N63" s="125" t="s">
        <v>76</v>
      </c>
    </row>
    <row r="64" spans="1:14" s="114" customFormat="1" x14ac:dyDescent="0.25">
      <c r="A64" s="122" t="s">
        <v>83</v>
      </c>
      <c r="B64" s="123" t="s">
        <v>110</v>
      </c>
      <c r="C64" s="124" t="s">
        <v>6</v>
      </c>
      <c r="D64" s="124"/>
      <c r="E64" s="124" t="s">
        <v>9</v>
      </c>
      <c r="F64" s="124" t="s">
        <v>10</v>
      </c>
      <c r="G64" s="124">
        <v>2</v>
      </c>
      <c r="H64" s="124" t="s">
        <v>53</v>
      </c>
      <c r="I64" s="124"/>
      <c r="J64" s="124">
        <v>1</v>
      </c>
      <c r="K64" s="124"/>
      <c r="L64" s="124"/>
      <c r="M64" s="124"/>
      <c r="N64" s="125"/>
    </row>
    <row r="65" spans="1:14" s="114" customFormat="1" x14ac:dyDescent="0.25">
      <c r="A65" s="122" t="s">
        <v>67</v>
      </c>
      <c r="B65" s="123" t="s">
        <v>91</v>
      </c>
      <c r="C65" s="124" t="s">
        <v>6</v>
      </c>
      <c r="D65" s="124" t="s">
        <v>14</v>
      </c>
      <c r="E65" s="124" t="s">
        <v>9</v>
      </c>
      <c r="F65" s="124" t="s">
        <v>9</v>
      </c>
      <c r="G65" s="124">
        <v>2</v>
      </c>
      <c r="H65" s="124" t="s">
        <v>37</v>
      </c>
      <c r="I65" s="124"/>
      <c r="J65" s="124">
        <v>1</v>
      </c>
      <c r="K65" s="124"/>
      <c r="L65" s="124"/>
      <c r="M65" s="124"/>
      <c r="N65" s="125"/>
    </row>
    <row r="66" spans="1:14" s="114" customFormat="1" x14ac:dyDescent="0.25">
      <c r="A66" s="122" t="s">
        <v>111</v>
      </c>
      <c r="B66" s="123" t="s">
        <v>68</v>
      </c>
      <c r="C66" s="124" t="s">
        <v>6</v>
      </c>
      <c r="D66" s="124"/>
      <c r="E66" s="124" t="s">
        <v>12</v>
      </c>
      <c r="F66" s="124" t="s">
        <v>9</v>
      </c>
      <c r="G66" s="124">
        <v>3</v>
      </c>
      <c r="H66" s="124" t="s">
        <v>53</v>
      </c>
      <c r="I66" s="124"/>
      <c r="J66" s="124">
        <v>1</v>
      </c>
      <c r="K66" s="124"/>
      <c r="L66" s="124"/>
      <c r="M66" s="124"/>
      <c r="N66" s="125" t="s">
        <v>66</v>
      </c>
    </row>
    <row r="67" spans="1:14" s="114" customFormat="1" x14ac:dyDescent="0.25">
      <c r="A67" s="122" t="s">
        <v>111</v>
      </c>
      <c r="B67" s="123" t="s">
        <v>91</v>
      </c>
      <c r="C67" s="124" t="s">
        <v>6</v>
      </c>
      <c r="D67" s="124"/>
      <c r="E67" s="124" t="s">
        <v>10</v>
      </c>
      <c r="F67" s="124" t="s">
        <v>11</v>
      </c>
      <c r="G67" s="124">
        <v>1</v>
      </c>
      <c r="H67" s="124" t="s">
        <v>40</v>
      </c>
      <c r="I67" s="124">
        <v>1</v>
      </c>
      <c r="J67" s="124"/>
      <c r="K67" s="124">
        <v>1</v>
      </c>
      <c r="L67" s="124" t="s">
        <v>62</v>
      </c>
      <c r="M67" s="124"/>
      <c r="N67" s="125"/>
    </row>
    <row r="68" spans="1:14" s="114" customFormat="1" x14ac:dyDescent="0.25">
      <c r="A68" s="122" t="s">
        <v>48</v>
      </c>
      <c r="B68" s="123" t="s">
        <v>112</v>
      </c>
      <c r="C68" s="124" t="s">
        <v>6</v>
      </c>
      <c r="D68" s="124"/>
      <c r="E68" s="124" t="s">
        <v>11</v>
      </c>
      <c r="F68" s="124" t="s">
        <v>10</v>
      </c>
      <c r="G68" s="124">
        <v>3</v>
      </c>
      <c r="H68" s="124" t="s">
        <v>53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113</v>
      </c>
      <c r="B69" s="123" t="s">
        <v>56</v>
      </c>
      <c r="C69" s="124" t="s">
        <v>7</v>
      </c>
      <c r="D69" s="124"/>
      <c r="E69" s="124" t="s">
        <v>11</v>
      </c>
      <c r="F69" s="124" t="s">
        <v>10</v>
      </c>
      <c r="G69" s="124">
        <v>2</v>
      </c>
      <c r="H69" s="124" t="s">
        <v>53</v>
      </c>
      <c r="I69" s="124"/>
      <c r="J69" s="124">
        <v>1</v>
      </c>
      <c r="K69" s="124"/>
      <c r="L69" s="124"/>
      <c r="M69" s="124"/>
      <c r="N69" s="125" t="s">
        <v>69</v>
      </c>
    </row>
    <row r="70" spans="1:14" s="114" customFormat="1" x14ac:dyDescent="0.25">
      <c r="A70" s="122" t="s">
        <v>114</v>
      </c>
      <c r="B70" s="123" t="s">
        <v>115</v>
      </c>
      <c r="C70" s="124" t="s">
        <v>7</v>
      </c>
      <c r="D70" s="124" t="s">
        <v>14</v>
      </c>
      <c r="E70" s="124" t="s">
        <v>11</v>
      </c>
      <c r="F70" s="124" t="s">
        <v>12</v>
      </c>
      <c r="G70" s="124">
        <v>1</v>
      </c>
      <c r="H70" s="124" t="s">
        <v>46</v>
      </c>
      <c r="I70" s="124">
        <v>1</v>
      </c>
      <c r="J70" s="124"/>
      <c r="K70" s="124"/>
      <c r="L70" s="124"/>
      <c r="M70" s="124"/>
      <c r="N70" s="125" t="s">
        <v>76</v>
      </c>
    </row>
    <row r="71" spans="1:14" s="114" customFormat="1" x14ac:dyDescent="0.25">
      <c r="A71" s="122" t="s">
        <v>116</v>
      </c>
      <c r="B71" s="123" t="s">
        <v>88</v>
      </c>
      <c r="C71" s="124" t="s">
        <v>6</v>
      </c>
      <c r="D71" s="124"/>
      <c r="E71" s="124" t="s">
        <v>13</v>
      </c>
      <c r="F71" s="124" t="s">
        <v>10</v>
      </c>
      <c r="G71" s="124">
        <v>1</v>
      </c>
      <c r="H71" s="124" t="s">
        <v>50</v>
      </c>
      <c r="I71" s="124">
        <v>1</v>
      </c>
      <c r="J71" s="124"/>
      <c r="K71" s="124"/>
      <c r="L71" s="124"/>
      <c r="M71" s="124"/>
      <c r="N71" s="125" t="s">
        <v>54</v>
      </c>
    </row>
    <row r="72" spans="1:14" s="114" customFormat="1" x14ac:dyDescent="0.25">
      <c r="A72" s="122" t="s">
        <v>67</v>
      </c>
      <c r="B72" s="123" t="s">
        <v>106</v>
      </c>
      <c r="C72" s="124" t="s">
        <v>6</v>
      </c>
      <c r="D72" s="124"/>
      <c r="E72" s="124" t="s">
        <v>12</v>
      </c>
      <c r="F72" s="124" t="s">
        <v>10</v>
      </c>
      <c r="G72" s="124">
        <v>1</v>
      </c>
      <c r="H72" s="124" t="s">
        <v>53</v>
      </c>
      <c r="I72" s="124">
        <v>1</v>
      </c>
      <c r="J72" s="124"/>
      <c r="K72" s="124"/>
      <c r="L72" s="124"/>
      <c r="M72" s="124"/>
      <c r="N72" s="125" t="s">
        <v>58</v>
      </c>
    </row>
    <row r="73" spans="1:14" s="114" customFormat="1" x14ac:dyDescent="0.25">
      <c r="A73" s="122" t="s">
        <v>117</v>
      </c>
      <c r="B73" s="123" t="s">
        <v>39</v>
      </c>
      <c r="C73" s="124" t="s">
        <v>7</v>
      </c>
      <c r="D73" s="124"/>
      <c r="E73" s="124" t="s">
        <v>10</v>
      </c>
      <c r="F73" s="124" t="s">
        <v>12</v>
      </c>
      <c r="G73" s="124">
        <v>1</v>
      </c>
      <c r="H73" s="124" t="s">
        <v>53</v>
      </c>
      <c r="I73" s="124">
        <v>1</v>
      </c>
      <c r="J73" s="124"/>
      <c r="K73" s="124"/>
      <c r="L73" s="124"/>
      <c r="M73" s="124"/>
      <c r="N73" s="125"/>
    </row>
    <row r="74" spans="1:14" s="114" customFormat="1" x14ac:dyDescent="0.25">
      <c r="A74" s="122" t="s">
        <v>75</v>
      </c>
      <c r="B74" s="123" t="s">
        <v>33</v>
      </c>
      <c r="C74" s="124" t="s">
        <v>6</v>
      </c>
      <c r="D74" s="124" t="s">
        <v>14</v>
      </c>
      <c r="E74" s="124" t="s">
        <v>13</v>
      </c>
      <c r="F74" s="124" t="s">
        <v>10</v>
      </c>
      <c r="G74" s="124">
        <v>3</v>
      </c>
      <c r="H74" s="124" t="s">
        <v>50</v>
      </c>
      <c r="I74" s="124"/>
      <c r="J74" s="124">
        <v>1</v>
      </c>
      <c r="K74" s="124"/>
      <c r="L74" s="124"/>
      <c r="M74" s="124"/>
      <c r="N74" s="125" t="s">
        <v>81</v>
      </c>
    </row>
    <row r="75" spans="1:14" s="114" customFormat="1" x14ac:dyDescent="0.25">
      <c r="A75" s="122" t="s">
        <v>38</v>
      </c>
      <c r="B75" s="123" t="s">
        <v>79</v>
      </c>
      <c r="C75" s="124" t="s">
        <v>7</v>
      </c>
      <c r="D75" s="124"/>
      <c r="E75" s="124" t="s">
        <v>11</v>
      </c>
      <c r="F75" s="124" t="s">
        <v>9</v>
      </c>
      <c r="G75" s="124">
        <v>2</v>
      </c>
      <c r="H75" s="124" t="s">
        <v>40</v>
      </c>
      <c r="I75" s="124"/>
      <c r="J75" s="124">
        <v>1</v>
      </c>
      <c r="K75" s="124"/>
      <c r="L75" s="124"/>
      <c r="M75" s="124"/>
      <c r="N75" s="125"/>
    </row>
    <row r="76" spans="1:14" s="114" customFormat="1" x14ac:dyDescent="0.25">
      <c r="A76" s="122" t="s">
        <v>93</v>
      </c>
      <c r="B76" s="123" t="s">
        <v>45</v>
      </c>
      <c r="C76" s="124" t="s">
        <v>6</v>
      </c>
      <c r="D76" s="124" t="s">
        <v>14</v>
      </c>
      <c r="E76" s="124" t="s">
        <v>9</v>
      </c>
      <c r="F76" s="124" t="s">
        <v>13</v>
      </c>
      <c r="G76" s="124">
        <v>3</v>
      </c>
      <c r="H76" s="124" t="s">
        <v>72</v>
      </c>
      <c r="I76" s="124">
        <v>1</v>
      </c>
      <c r="J76" s="124"/>
      <c r="K76" s="124">
        <v>1</v>
      </c>
      <c r="L76" s="124" t="s">
        <v>57</v>
      </c>
      <c r="M76" s="124"/>
      <c r="N76" s="125" t="s">
        <v>43</v>
      </c>
    </row>
    <row r="77" spans="1:14" s="114" customFormat="1" x14ac:dyDescent="0.25">
      <c r="A77" s="122" t="s">
        <v>59</v>
      </c>
      <c r="B77" s="123" t="s">
        <v>118</v>
      </c>
      <c r="C77" s="124" t="s">
        <v>6</v>
      </c>
      <c r="D77" s="124" t="s">
        <v>14</v>
      </c>
      <c r="E77" s="124" t="s">
        <v>9</v>
      </c>
      <c r="F77" s="124" t="s">
        <v>9</v>
      </c>
      <c r="G77" s="124">
        <v>2</v>
      </c>
      <c r="H77" s="124" t="s">
        <v>65</v>
      </c>
      <c r="I77" s="124"/>
      <c r="J77" s="124">
        <v>1</v>
      </c>
      <c r="K77" s="124"/>
      <c r="L77" s="124"/>
      <c r="M77" s="124"/>
      <c r="N77" s="125" t="s">
        <v>66</v>
      </c>
    </row>
    <row r="78" spans="1:14" s="114" customFormat="1" x14ac:dyDescent="0.25">
      <c r="A78" s="122" t="s">
        <v>119</v>
      </c>
      <c r="B78" s="123" t="s">
        <v>88</v>
      </c>
      <c r="C78" s="124" t="s">
        <v>6</v>
      </c>
      <c r="D78" s="124"/>
      <c r="E78" s="124" t="s">
        <v>9</v>
      </c>
      <c r="F78" s="124" t="s">
        <v>10</v>
      </c>
      <c r="G78" s="124">
        <v>2</v>
      </c>
      <c r="H78" s="124" t="s">
        <v>65</v>
      </c>
      <c r="I78" s="124"/>
      <c r="J78" s="124">
        <v>1</v>
      </c>
      <c r="K78" s="124"/>
      <c r="L78" s="124"/>
      <c r="M78" s="124"/>
      <c r="N78" s="125" t="s">
        <v>76</v>
      </c>
    </row>
    <row r="79" spans="1:14" s="114" customFormat="1" x14ac:dyDescent="0.25">
      <c r="A79" s="122" t="s">
        <v>89</v>
      </c>
      <c r="B79" s="123" t="s">
        <v>74</v>
      </c>
      <c r="C79" s="124" t="s">
        <v>7</v>
      </c>
      <c r="D79" s="124"/>
      <c r="E79" s="124" t="s">
        <v>10</v>
      </c>
      <c r="F79" s="124" t="s">
        <v>10</v>
      </c>
      <c r="G79" s="124">
        <v>1</v>
      </c>
      <c r="H79" s="124" t="s">
        <v>37</v>
      </c>
      <c r="I79" s="124">
        <v>1</v>
      </c>
      <c r="J79" s="124"/>
      <c r="K79" s="124">
        <v>1</v>
      </c>
      <c r="L79" s="124" t="s">
        <v>87</v>
      </c>
      <c r="M79" s="124">
        <v>1</v>
      </c>
      <c r="N79" s="125"/>
    </row>
    <row r="80" spans="1:14" s="114" customFormat="1" x14ac:dyDescent="0.25">
      <c r="A80" s="122" t="s">
        <v>83</v>
      </c>
      <c r="B80" s="123" t="s">
        <v>64</v>
      </c>
      <c r="C80" s="124" t="s">
        <v>6</v>
      </c>
      <c r="D80" s="124"/>
      <c r="E80" s="124" t="s">
        <v>12</v>
      </c>
      <c r="F80" s="124" t="s">
        <v>12</v>
      </c>
      <c r="G80" s="124">
        <v>1</v>
      </c>
      <c r="H80" s="124" t="s">
        <v>65</v>
      </c>
      <c r="I80" s="124">
        <v>1</v>
      </c>
      <c r="J80" s="124"/>
      <c r="K80" s="124"/>
      <c r="L80" s="124"/>
      <c r="M80" s="124"/>
      <c r="N80" s="125" t="s">
        <v>69</v>
      </c>
    </row>
    <row r="81" spans="1:14" s="114" customFormat="1" x14ac:dyDescent="0.25">
      <c r="A81" s="122" t="s">
        <v>114</v>
      </c>
      <c r="B81" s="123" t="s">
        <v>120</v>
      </c>
      <c r="C81" s="124" t="s">
        <v>6</v>
      </c>
      <c r="D81" s="124"/>
      <c r="E81" s="124" t="s">
        <v>10</v>
      </c>
      <c r="F81" s="124" t="s">
        <v>11</v>
      </c>
      <c r="G81" s="124">
        <v>1</v>
      </c>
      <c r="H81" s="124" t="s">
        <v>72</v>
      </c>
      <c r="I81" s="124">
        <v>1</v>
      </c>
      <c r="J81" s="124"/>
      <c r="K81" s="124"/>
      <c r="L81" s="124"/>
      <c r="M81" s="124"/>
      <c r="N81" s="125"/>
    </row>
    <row r="82" spans="1:14" s="114" customFormat="1" x14ac:dyDescent="0.25">
      <c r="A82" s="122" t="s">
        <v>93</v>
      </c>
      <c r="B82" s="123" t="s">
        <v>79</v>
      </c>
      <c r="C82" s="124" t="s">
        <v>7</v>
      </c>
      <c r="D82" s="124"/>
      <c r="E82" s="124" t="s">
        <v>9</v>
      </c>
      <c r="F82" s="124" t="s">
        <v>11</v>
      </c>
      <c r="G82" s="124">
        <v>3</v>
      </c>
      <c r="H82" s="124" t="s">
        <v>53</v>
      </c>
      <c r="I82" s="124"/>
      <c r="J82" s="124">
        <v>1</v>
      </c>
      <c r="K82" s="124"/>
      <c r="L82" s="124"/>
      <c r="M82" s="124"/>
      <c r="N82" s="125" t="s">
        <v>69</v>
      </c>
    </row>
    <row r="83" spans="1:14" s="114" customFormat="1" x14ac:dyDescent="0.25">
      <c r="A83" s="122" t="s">
        <v>121</v>
      </c>
      <c r="B83" s="123" t="s">
        <v>115</v>
      </c>
      <c r="C83" s="124" t="s">
        <v>7</v>
      </c>
      <c r="D83" s="124"/>
      <c r="E83" s="124" t="s">
        <v>11</v>
      </c>
      <c r="F83" s="124" t="s">
        <v>9</v>
      </c>
      <c r="G83" s="124">
        <v>3</v>
      </c>
      <c r="H83" s="124" t="s">
        <v>50</v>
      </c>
      <c r="I83" s="124"/>
      <c r="J83" s="124">
        <v>1</v>
      </c>
      <c r="K83" s="124">
        <v>1</v>
      </c>
      <c r="L83" s="124" t="s">
        <v>87</v>
      </c>
      <c r="M83" s="124"/>
      <c r="N83" s="125"/>
    </row>
    <row r="84" spans="1:14" s="114" customFormat="1" x14ac:dyDescent="0.25">
      <c r="A84" s="122" t="s">
        <v>75</v>
      </c>
      <c r="B84" s="123" t="s">
        <v>86</v>
      </c>
      <c r="C84" s="124" t="s">
        <v>6</v>
      </c>
      <c r="D84" s="124"/>
      <c r="E84" s="124" t="s">
        <v>13</v>
      </c>
      <c r="F84" s="124" t="s">
        <v>9</v>
      </c>
      <c r="G84" s="124">
        <v>1</v>
      </c>
      <c r="H84" s="124" t="s">
        <v>37</v>
      </c>
      <c r="I84" s="124">
        <v>1</v>
      </c>
      <c r="J84" s="124"/>
      <c r="K84" s="124"/>
      <c r="L84" s="124"/>
      <c r="M84" s="124"/>
      <c r="N84" s="125" t="s">
        <v>47</v>
      </c>
    </row>
    <row r="85" spans="1:14" s="114" customFormat="1" x14ac:dyDescent="0.25">
      <c r="A85" s="122" t="s">
        <v>70</v>
      </c>
      <c r="B85" s="123" t="s">
        <v>36</v>
      </c>
      <c r="C85" s="124" t="s">
        <v>6</v>
      </c>
      <c r="D85" s="124"/>
      <c r="E85" s="124" t="s">
        <v>13</v>
      </c>
      <c r="F85" s="124" t="s">
        <v>9</v>
      </c>
      <c r="G85" s="124">
        <v>1</v>
      </c>
      <c r="H85" s="124" t="s">
        <v>65</v>
      </c>
      <c r="I85" s="124">
        <v>1</v>
      </c>
      <c r="J85" s="124"/>
      <c r="K85" s="124"/>
      <c r="L85" s="124"/>
      <c r="M85" s="124"/>
      <c r="N85" s="125" t="s">
        <v>69</v>
      </c>
    </row>
    <row r="86" spans="1:14" s="114" customFormat="1" x14ac:dyDescent="0.25">
      <c r="A86" s="122" t="s">
        <v>122</v>
      </c>
      <c r="B86" s="123" t="s">
        <v>71</v>
      </c>
      <c r="C86" s="124" t="s">
        <v>6</v>
      </c>
      <c r="D86" s="124"/>
      <c r="E86" s="124" t="s">
        <v>11</v>
      </c>
      <c r="F86" s="124" t="s">
        <v>10</v>
      </c>
      <c r="G86" s="124">
        <v>1</v>
      </c>
      <c r="H86" s="124" t="s">
        <v>46</v>
      </c>
      <c r="I86" s="124">
        <v>1</v>
      </c>
      <c r="J86" s="124"/>
      <c r="K86" s="124">
        <v>1</v>
      </c>
      <c r="L86" s="124" t="s">
        <v>87</v>
      </c>
      <c r="M86" s="124">
        <v>1</v>
      </c>
      <c r="N86" s="125" t="s">
        <v>69</v>
      </c>
    </row>
    <row r="87" spans="1:14" s="114" customFormat="1" x14ac:dyDescent="0.25">
      <c r="A87" s="122" t="s">
        <v>77</v>
      </c>
      <c r="B87" s="123" t="s">
        <v>120</v>
      </c>
      <c r="C87" s="124" t="s">
        <v>6</v>
      </c>
      <c r="D87" s="124"/>
      <c r="E87" s="124" t="s">
        <v>11</v>
      </c>
      <c r="F87" s="124" t="s">
        <v>10</v>
      </c>
      <c r="G87" s="124">
        <v>2</v>
      </c>
      <c r="H87" s="124" t="s">
        <v>60</v>
      </c>
      <c r="I87" s="124"/>
      <c r="J87" s="124">
        <v>1</v>
      </c>
      <c r="K87" s="124"/>
      <c r="L87" s="124"/>
      <c r="M87" s="124"/>
      <c r="N87" s="125"/>
    </row>
    <row r="88" spans="1:14" s="114" customFormat="1" x14ac:dyDescent="0.25">
      <c r="A88" s="122" t="s">
        <v>73</v>
      </c>
      <c r="B88" s="123" t="s">
        <v>78</v>
      </c>
      <c r="C88" s="124" t="s">
        <v>7</v>
      </c>
      <c r="D88" s="124"/>
      <c r="E88" s="124" t="s">
        <v>10</v>
      </c>
      <c r="F88" s="124" t="s">
        <v>12</v>
      </c>
      <c r="G88" s="124">
        <v>3</v>
      </c>
      <c r="H88" s="124" t="s">
        <v>72</v>
      </c>
      <c r="I88" s="124">
        <v>1</v>
      </c>
      <c r="J88" s="124"/>
      <c r="K88" s="124">
        <v>1</v>
      </c>
      <c r="L88" s="124" t="s">
        <v>57</v>
      </c>
      <c r="M88" s="124"/>
      <c r="N88" s="125"/>
    </row>
    <row r="89" spans="1:14" s="114" customFormat="1" x14ac:dyDescent="0.25">
      <c r="A89" s="122" t="s">
        <v>123</v>
      </c>
      <c r="B89" s="123" t="s">
        <v>68</v>
      </c>
      <c r="C89" s="124" t="s">
        <v>6</v>
      </c>
      <c r="D89" s="124"/>
      <c r="E89" s="124" t="s">
        <v>10</v>
      </c>
      <c r="F89" s="124" t="s">
        <v>9</v>
      </c>
      <c r="G89" s="124">
        <v>3</v>
      </c>
      <c r="H89" s="124" t="s">
        <v>40</v>
      </c>
      <c r="I89" s="124"/>
      <c r="J89" s="124">
        <v>1</v>
      </c>
      <c r="K89" s="124">
        <v>1</v>
      </c>
      <c r="L89" s="124" t="s">
        <v>62</v>
      </c>
      <c r="M89" s="124"/>
      <c r="N89" s="125" t="s">
        <v>69</v>
      </c>
    </row>
    <row r="90" spans="1:14" s="114" customFormat="1" x14ac:dyDescent="0.25">
      <c r="A90" s="122" t="s">
        <v>63</v>
      </c>
      <c r="B90" s="123" t="s">
        <v>78</v>
      </c>
      <c r="C90" s="124" t="s">
        <v>7</v>
      </c>
      <c r="D90" s="124"/>
      <c r="E90" s="124" t="s">
        <v>10</v>
      </c>
      <c r="F90" s="124" t="s">
        <v>9</v>
      </c>
      <c r="G90" s="124">
        <v>1</v>
      </c>
      <c r="H90" s="124" t="s">
        <v>53</v>
      </c>
      <c r="I90" s="124">
        <v>1</v>
      </c>
      <c r="J90" s="124"/>
      <c r="K90" s="124"/>
      <c r="L90" s="124"/>
      <c r="M90" s="124"/>
      <c r="N90" s="125" t="s">
        <v>66</v>
      </c>
    </row>
    <row r="91" spans="1:14" s="114" customFormat="1" x14ac:dyDescent="0.25">
      <c r="A91" s="122" t="s">
        <v>124</v>
      </c>
      <c r="B91" s="123" t="s">
        <v>39</v>
      </c>
      <c r="C91" s="124" t="s">
        <v>7</v>
      </c>
      <c r="D91" s="124"/>
      <c r="E91" s="124" t="s">
        <v>9</v>
      </c>
      <c r="F91" s="124" t="s">
        <v>10</v>
      </c>
      <c r="G91" s="124">
        <v>1</v>
      </c>
      <c r="H91" s="124" t="s">
        <v>40</v>
      </c>
      <c r="I91" s="124">
        <v>1</v>
      </c>
      <c r="J91" s="124"/>
      <c r="K91" s="124"/>
      <c r="L91" s="124"/>
      <c r="M91" s="124"/>
      <c r="N91" s="125" t="s">
        <v>81</v>
      </c>
    </row>
    <row r="92" spans="1:14" s="114" customFormat="1" x14ac:dyDescent="0.25">
      <c r="A92" s="122" t="s">
        <v>41</v>
      </c>
      <c r="B92" s="123" t="s">
        <v>88</v>
      </c>
      <c r="C92" s="124" t="s">
        <v>6</v>
      </c>
      <c r="D92" s="124"/>
      <c r="E92" s="124" t="s">
        <v>9</v>
      </c>
      <c r="F92" s="124" t="s">
        <v>9</v>
      </c>
      <c r="G92" s="124">
        <v>1</v>
      </c>
      <c r="H92" s="124" t="s">
        <v>60</v>
      </c>
      <c r="I92" s="124">
        <v>1</v>
      </c>
      <c r="J92" s="124"/>
      <c r="K92" s="124"/>
      <c r="L92" s="124"/>
      <c r="M92" s="124"/>
      <c r="N92" s="125"/>
    </row>
    <row r="93" spans="1:14" s="114" customFormat="1" x14ac:dyDescent="0.25">
      <c r="A93" s="122" t="s">
        <v>41</v>
      </c>
      <c r="B93" s="123" t="s">
        <v>56</v>
      </c>
      <c r="C93" s="124" t="s">
        <v>7</v>
      </c>
      <c r="D93" s="124"/>
      <c r="E93" s="124" t="s">
        <v>10</v>
      </c>
      <c r="F93" s="124" t="s">
        <v>13</v>
      </c>
      <c r="G93" s="124">
        <v>3</v>
      </c>
      <c r="H93" s="124" t="s">
        <v>60</v>
      </c>
      <c r="I93" s="124">
        <v>1</v>
      </c>
      <c r="J93" s="124"/>
      <c r="K93" s="124">
        <v>1</v>
      </c>
      <c r="L93" s="124" t="s">
        <v>57</v>
      </c>
      <c r="M93" s="124"/>
      <c r="N93" s="125"/>
    </row>
    <row r="94" spans="1:14" s="114" customFormat="1" x14ac:dyDescent="0.25">
      <c r="A94" s="122" t="s">
        <v>59</v>
      </c>
      <c r="B94" s="123" t="s">
        <v>97</v>
      </c>
      <c r="C94" s="124" t="s">
        <v>7</v>
      </c>
      <c r="D94" s="124" t="s">
        <v>14</v>
      </c>
      <c r="E94" s="124" t="s">
        <v>12</v>
      </c>
      <c r="F94" s="124" t="s">
        <v>10</v>
      </c>
      <c r="G94" s="124">
        <v>2</v>
      </c>
      <c r="H94" s="124" t="s">
        <v>40</v>
      </c>
      <c r="I94" s="124"/>
      <c r="J94" s="124">
        <v>1</v>
      </c>
      <c r="K94" s="124"/>
      <c r="L94" s="124"/>
      <c r="M94" s="124"/>
      <c r="N94" s="125" t="s">
        <v>66</v>
      </c>
    </row>
    <row r="95" spans="1:14" s="114" customFormat="1" x14ac:dyDescent="0.25">
      <c r="A95" s="122" t="s">
        <v>125</v>
      </c>
      <c r="B95" s="123" t="s">
        <v>97</v>
      </c>
      <c r="C95" s="124" t="s">
        <v>7</v>
      </c>
      <c r="D95" s="124"/>
      <c r="E95" s="124" t="s">
        <v>11</v>
      </c>
      <c r="F95" s="124" t="s">
        <v>9</v>
      </c>
      <c r="G95" s="124">
        <v>1</v>
      </c>
      <c r="H95" s="124" t="s">
        <v>53</v>
      </c>
      <c r="I95" s="124">
        <v>1</v>
      </c>
      <c r="J95" s="124"/>
      <c r="K95" s="124"/>
      <c r="L95" s="124"/>
      <c r="M95" s="124"/>
      <c r="N95" s="125"/>
    </row>
    <row r="96" spans="1:14" s="114" customFormat="1" x14ac:dyDescent="0.25">
      <c r="A96" s="122" t="s">
        <v>75</v>
      </c>
      <c r="B96" s="123" t="s">
        <v>126</v>
      </c>
      <c r="C96" s="124" t="s">
        <v>7</v>
      </c>
      <c r="D96" s="124"/>
      <c r="E96" s="124" t="s">
        <v>9</v>
      </c>
      <c r="F96" s="124" t="s">
        <v>11</v>
      </c>
      <c r="G96" s="124">
        <v>3</v>
      </c>
      <c r="H96" s="124" t="s">
        <v>53</v>
      </c>
      <c r="I96" s="124">
        <v>1</v>
      </c>
      <c r="J96" s="124"/>
      <c r="K96" s="124">
        <v>1</v>
      </c>
      <c r="L96" s="124" t="s">
        <v>87</v>
      </c>
      <c r="M96" s="124"/>
      <c r="N96" s="125" t="s">
        <v>66</v>
      </c>
    </row>
    <row r="97" spans="1:14" s="114" customFormat="1" x14ac:dyDescent="0.25">
      <c r="A97" s="122" t="s">
        <v>67</v>
      </c>
      <c r="B97" s="123" t="s">
        <v>56</v>
      </c>
      <c r="C97" s="124" t="s">
        <v>7</v>
      </c>
      <c r="D97" s="124"/>
      <c r="E97" s="124" t="s">
        <v>10</v>
      </c>
      <c r="F97" s="124" t="s">
        <v>9</v>
      </c>
      <c r="G97" s="124">
        <v>1</v>
      </c>
      <c r="H97" s="124" t="s">
        <v>72</v>
      </c>
      <c r="I97" s="124">
        <v>1</v>
      </c>
      <c r="J97" s="124"/>
      <c r="K97" s="124"/>
      <c r="L97" s="124"/>
      <c r="M97" s="124">
        <v>1</v>
      </c>
      <c r="N97" s="125" t="s">
        <v>43</v>
      </c>
    </row>
    <row r="98" spans="1:14" s="114" customFormat="1" x14ac:dyDescent="0.25">
      <c r="A98" s="122" t="s">
        <v>107</v>
      </c>
      <c r="B98" s="123" t="s">
        <v>108</v>
      </c>
      <c r="C98" s="124" t="s">
        <v>7</v>
      </c>
      <c r="D98" s="124"/>
      <c r="E98" s="124" t="s">
        <v>9</v>
      </c>
      <c r="F98" s="124" t="s">
        <v>11</v>
      </c>
      <c r="G98" s="124">
        <v>3</v>
      </c>
      <c r="H98" s="124" t="s">
        <v>37</v>
      </c>
      <c r="I98" s="124">
        <v>1</v>
      </c>
      <c r="J98" s="124"/>
      <c r="K98" s="124"/>
      <c r="L98" s="124"/>
      <c r="M98" s="124"/>
      <c r="N98" s="125" t="s">
        <v>54</v>
      </c>
    </row>
    <row r="99" spans="1:14" s="114" customFormat="1" x14ac:dyDescent="0.25">
      <c r="A99" s="122" t="s">
        <v>122</v>
      </c>
      <c r="B99" s="123" t="s">
        <v>94</v>
      </c>
      <c r="C99" s="124" t="s">
        <v>6</v>
      </c>
      <c r="D99" s="124"/>
      <c r="E99" s="124" t="s">
        <v>9</v>
      </c>
      <c r="F99" s="124" t="s">
        <v>9</v>
      </c>
      <c r="G99" s="124">
        <v>1</v>
      </c>
      <c r="H99" s="124" t="s">
        <v>65</v>
      </c>
      <c r="I99" s="124">
        <v>1</v>
      </c>
      <c r="J99" s="124"/>
      <c r="K99" s="124"/>
      <c r="L99" s="124"/>
      <c r="M99" s="124"/>
      <c r="N99" s="125"/>
    </row>
    <row r="100" spans="1:14" s="114" customFormat="1" x14ac:dyDescent="0.25">
      <c r="A100" s="122" t="s">
        <v>109</v>
      </c>
      <c r="B100" s="123" t="s">
        <v>68</v>
      </c>
      <c r="C100" s="124" t="s">
        <v>6</v>
      </c>
      <c r="D100" s="124"/>
      <c r="E100" s="124" t="s">
        <v>11</v>
      </c>
      <c r="F100" s="124" t="s">
        <v>10</v>
      </c>
      <c r="G100" s="124">
        <v>2</v>
      </c>
      <c r="H100" s="124" t="s">
        <v>60</v>
      </c>
      <c r="I100" s="124"/>
      <c r="J100" s="124">
        <v>1</v>
      </c>
      <c r="K100" s="124"/>
      <c r="L100" s="124"/>
      <c r="M100" s="124"/>
      <c r="N100" s="125" t="s">
        <v>66</v>
      </c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/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7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I19:J100">
      <formula1>1</formula1>
    </dataValidation>
    <dataValidation type="whole" operator="equal" allowBlank="1" showInputMessage="1" showErrorMessage="1" sqref="K19:K100">
      <formula1>1</formula1>
    </dataValidation>
    <dataValidation type="whole" operator="equal" allowBlank="1" showInputMessage="1" showErrorMessage="1" sqref="M19:M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2" max="1638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2018-05-01T19:35:24Z</dcterms:modified>
</cp:coreProperties>
</file>