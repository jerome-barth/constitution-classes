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nimda\Jupyter Notebook\Projet Excel\constitution-classes\"/>
    </mc:Choice>
  </mc:AlternateContent>
  <bookViews>
    <workbookView xWindow="240" yWindow="15" windowWidth="16095" windowHeight="9660" activeTab="1"/>
  </bookViews>
  <sheets>
    <sheet name="Patates" sheetId="1" r:id="rId1"/>
    <sheet name="3e 2018-19" sheetId="2" r:id="rId2"/>
  </sheets>
  <definedNames>
    <definedName name="_All2">'3e 2018-19'!$I$19:$I$100</definedName>
    <definedName name="_Classe">'3e 2018-19'!$G$19:$G$100</definedName>
    <definedName name="_Comportement">'3e 2018-19'!$F$19:$F$100</definedName>
    <definedName name="_DivOrig">'3e 2018-19'!$H$19:$H$100</definedName>
    <definedName name="_Esp2">'3e 2018-19'!$J$19:$J$100</definedName>
    <definedName name="_xlnm._FilterDatabase" localSheetId="1" hidden="1">'3e 2018-19'!$A$18:$N$100</definedName>
    <definedName name="_Latin">'3e 2018-19'!$M$19:$M$100</definedName>
    <definedName name="_Niveau">'3e 2018-19'!$E$19:$E$100</definedName>
    <definedName name="_Nom">'3e 2018-19'!$A$19:$A$100</definedName>
    <definedName name="_Prénom">'3e 2018-19'!$B$19:$B$100</definedName>
    <definedName name="_Retard">'3e 2018-19'!$D$19:$D$100</definedName>
    <definedName name="_Sexe">'3e 2018-19'!$C$19:$C$100</definedName>
    <definedName name="_Sport">'3e 2018-19'!$K$19:$K$100</definedName>
    <definedName name="_xlnm.Print_Titles" localSheetId="1">'3e 2018-19'!$18:$18</definedName>
    <definedName name="_xlnm.Print_Area" localSheetId="1">'3e 2018-19'!$A$1:$N$100</definedName>
    <definedName name="_xlnm.Print_Area" localSheetId="0">Patates!$A$1:$K$27</definedName>
  </definedNames>
  <calcPr calcId="162913"/>
</workbook>
</file>

<file path=xl/calcChain.xml><?xml version="1.0" encoding="utf-8"?>
<calcChain xmlns="http://schemas.openxmlformats.org/spreadsheetml/2006/main">
  <c r="C9" i="1" l="1"/>
  <c r="G16" i="2" l="1"/>
  <c r="F16" i="2"/>
  <c r="E16" i="2"/>
  <c r="D16" i="2"/>
  <c r="C16" i="2"/>
  <c r="G15" i="2"/>
  <c r="F15" i="2"/>
  <c r="E15" i="2"/>
  <c r="D15" i="2"/>
  <c r="C15" i="2"/>
  <c r="G14" i="2"/>
  <c r="F14" i="2"/>
  <c r="E14" i="2"/>
  <c r="D14" i="2"/>
  <c r="C14" i="2"/>
  <c r="G13" i="2"/>
  <c r="F13" i="2"/>
  <c r="E13" i="2"/>
  <c r="D13" i="2"/>
  <c r="C13" i="2"/>
  <c r="G12" i="2"/>
  <c r="F12" i="2"/>
  <c r="E12" i="2"/>
  <c r="D12" i="2"/>
  <c r="C12" i="2"/>
  <c r="G11" i="2"/>
  <c r="F11" i="2"/>
  <c r="E11" i="2"/>
  <c r="D11" i="2"/>
  <c r="C11" i="2"/>
  <c r="G10" i="2"/>
  <c r="F10" i="2"/>
  <c r="E10" i="2"/>
  <c r="D10" i="2"/>
  <c r="C10" i="2"/>
  <c r="G9" i="2"/>
  <c r="F9" i="2"/>
  <c r="E9" i="2"/>
  <c r="D9" i="2"/>
  <c r="C9" i="2"/>
  <c r="G8" i="2"/>
  <c r="F8" i="2"/>
  <c r="E8" i="2"/>
  <c r="D8" i="2"/>
  <c r="C8" i="2"/>
  <c r="G7" i="2"/>
  <c r="F7" i="2"/>
  <c r="E7" i="2"/>
  <c r="D7" i="2"/>
  <c r="C7" i="2"/>
  <c r="G6" i="2"/>
  <c r="F6" i="2"/>
  <c r="E6" i="2"/>
  <c r="D6" i="2"/>
  <c r="C6" i="2"/>
  <c r="G4" i="2"/>
  <c r="F4" i="2"/>
  <c r="E4" i="2"/>
  <c r="D4" i="2"/>
  <c r="C4" i="2"/>
  <c r="G3" i="2"/>
  <c r="F3" i="2"/>
  <c r="E3" i="2"/>
  <c r="D3" i="2"/>
  <c r="C3" i="2"/>
  <c r="G2" i="2"/>
  <c r="F2" i="2"/>
  <c r="F5" i="2" s="1"/>
  <c r="E2" i="2"/>
  <c r="D2" i="2"/>
  <c r="C2" i="2"/>
  <c r="G26" i="1"/>
  <c r="G24" i="1"/>
  <c r="E24" i="1"/>
  <c r="C24" i="1"/>
  <c r="G23" i="1"/>
  <c r="E23" i="1"/>
  <c r="E26" i="1" s="1"/>
  <c r="C23" i="1"/>
  <c r="G22" i="1"/>
  <c r="G25" i="1" s="1"/>
  <c r="E22" i="1"/>
  <c r="E25" i="1" s="1"/>
  <c r="C22" i="1"/>
  <c r="G21" i="1"/>
  <c r="E21" i="1"/>
  <c r="C21" i="1"/>
  <c r="K18" i="1"/>
  <c r="J18" i="1"/>
  <c r="H18" i="1"/>
  <c r="F18" i="1"/>
  <c r="D18" i="1"/>
  <c r="B18" i="1"/>
  <c r="K17" i="1"/>
  <c r="J17" i="1"/>
  <c r="H17" i="1"/>
  <c r="F17" i="1"/>
  <c r="D17" i="1"/>
  <c r="B17" i="1"/>
  <c r="K16" i="1"/>
  <c r="J16" i="1"/>
  <c r="H16" i="1"/>
  <c r="F16" i="1"/>
  <c r="D16" i="1"/>
  <c r="B16" i="1"/>
  <c r="K15" i="1"/>
  <c r="J15" i="1"/>
  <c r="H15" i="1"/>
  <c r="F15" i="1"/>
  <c r="D15" i="1"/>
  <c r="B15" i="1"/>
  <c r="K14" i="1"/>
  <c r="J14" i="1"/>
  <c r="H14" i="1"/>
  <c r="G14" i="1"/>
  <c r="F14" i="1"/>
  <c r="E14" i="1"/>
  <c r="D14" i="1"/>
  <c r="C14" i="1"/>
  <c r="B14" i="1"/>
  <c r="K13" i="1"/>
  <c r="J13" i="1"/>
  <c r="H13" i="1"/>
  <c r="F13" i="1"/>
  <c r="D13" i="1"/>
  <c r="B13" i="1"/>
  <c r="K12" i="1"/>
  <c r="J12" i="1"/>
  <c r="H12" i="1"/>
  <c r="F12" i="1"/>
  <c r="D12" i="1"/>
  <c r="B12" i="1"/>
  <c r="K11" i="1"/>
  <c r="J11" i="1"/>
  <c r="H11" i="1"/>
  <c r="F11" i="1"/>
  <c r="D11" i="1"/>
  <c r="B11" i="1"/>
  <c r="K10" i="1"/>
  <c r="J10" i="1"/>
  <c r="H10" i="1"/>
  <c r="F10" i="1"/>
  <c r="D10" i="1"/>
  <c r="B10" i="1"/>
  <c r="K9" i="1"/>
  <c r="H9" i="1"/>
  <c r="G9" i="1"/>
  <c r="F9" i="1"/>
  <c r="E9" i="1"/>
  <c r="D9" i="1"/>
  <c r="B9" i="1"/>
  <c r="K8" i="1"/>
  <c r="J8" i="1"/>
  <c r="H8" i="1"/>
  <c r="F8" i="1"/>
  <c r="D8" i="1"/>
  <c r="B8" i="1"/>
  <c r="K7" i="1"/>
  <c r="J7" i="1"/>
  <c r="H7" i="1"/>
  <c r="F7" i="1"/>
  <c r="D7" i="1"/>
  <c r="B7" i="1"/>
  <c r="K6" i="1"/>
  <c r="J6" i="1"/>
  <c r="H6" i="1"/>
  <c r="F6" i="1"/>
  <c r="D6" i="1"/>
  <c r="B6" i="1"/>
  <c r="K5" i="1"/>
  <c r="J5" i="1"/>
  <c r="H5" i="1"/>
  <c r="F5" i="1"/>
  <c r="D5" i="1"/>
  <c r="B5" i="1"/>
  <c r="K4" i="1"/>
  <c r="H4" i="1"/>
  <c r="G4" i="1"/>
  <c r="F4" i="1"/>
  <c r="E4" i="1"/>
  <c r="D4" i="1"/>
  <c r="C4" i="1"/>
  <c r="B4" i="1"/>
  <c r="K23" i="1" l="1"/>
  <c r="D5" i="2"/>
  <c r="E5" i="2"/>
  <c r="F20" i="1"/>
  <c r="H9" i="2"/>
  <c r="F22" i="1"/>
  <c r="D21" i="1"/>
  <c r="B22" i="1"/>
  <c r="H22" i="1"/>
  <c r="J22" i="1"/>
  <c r="H21" i="1"/>
  <c r="K22" i="1"/>
  <c r="I14" i="1"/>
  <c r="H2" i="2"/>
  <c r="K20" i="1"/>
  <c r="D22" i="1"/>
  <c r="H23" i="1"/>
  <c r="I13" i="1"/>
  <c r="I5" i="1"/>
  <c r="F21" i="1"/>
  <c r="B24" i="1"/>
  <c r="G20" i="1"/>
  <c r="J21" i="1"/>
  <c r="J23" i="1"/>
  <c r="I12" i="1"/>
  <c r="K24" i="1"/>
  <c r="I16" i="1"/>
  <c r="I9" i="1"/>
  <c r="I15" i="1"/>
  <c r="I4" i="1"/>
  <c r="K21" i="1"/>
  <c r="D23" i="1"/>
  <c r="H24" i="1"/>
  <c r="H26" i="1" s="1"/>
  <c r="I17" i="1"/>
  <c r="C25" i="1"/>
  <c r="J24" i="1"/>
  <c r="H3" i="2"/>
  <c r="H6" i="2"/>
  <c r="H14" i="2"/>
  <c r="I11" i="1"/>
  <c r="H4" i="2"/>
  <c r="H7" i="2"/>
  <c r="H15" i="2"/>
  <c r="D20" i="1"/>
  <c r="I10" i="1"/>
  <c r="H8" i="2"/>
  <c r="H16" i="2"/>
  <c r="B20" i="1"/>
  <c r="G5" i="2"/>
  <c r="H13" i="2"/>
  <c r="B23" i="1"/>
  <c r="F24" i="1"/>
  <c r="H10" i="2"/>
  <c r="I18" i="1"/>
  <c r="H11" i="2"/>
  <c r="H20" i="1"/>
  <c r="I7" i="1"/>
  <c r="D24" i="1"/>
  <c r="C5" i="2"/>
  <c r="H12" i="2"/>
  <c r="C20" i="1"/>
  <c r="J9" i="1"/>
  <c r="C26" i="1"/>
  <c r="J4" i="1"/>
  <c r="I8" i="1"/>
  <c r="I6" i="1"/>
  <c r="E20" i="1"/>
  <c r="F23" i="1"/>
  <c r="B21" i="1"/>
  <c r="F25" i="1" l="1"/>
  <c r="B25" i="1"/>
  <c r="B26" i="1"/>
  <c r="H5" i="2"/>
  <c r="K25" i="1"/>
  <c r="J26" i="1"/>
  <c r="D25" i="1"/>
  <c r="I23" i="1"/>
  <c r="H25" i="1"/>
  <c r="I24" i="1"/>
  <c r="K26" i="1"/>
  <c r="I21" i="1"/>
  <c r="I20" i="1"/>
  <c r="I22" i="1"/>
  <c r="J20" i="1"/>
  <c r="D26" i="1"/>
  <c r="J25" i="1"/>
  <c r="F26" i="1"/>
  <c r="I26" i="1" l="1"/>
  <c r="I25" i="1"/>
</calcChain>
</file>

<file path=xl/sharedStrings.xml><?xml version="1.0" encoding="utf-8"?>
<sst xmlns="http://schemas.openxmlformats.org/spreadsheetml/2006/main" count="650" uniqueCount="138">
  <si>
    <t>R18</t>
  </si>
  <si>
    <t>Collège</t>
  </si>
  <si>
    <t>Gd Froid</t>
  </si>
  <si>
    <t>Pôle Nord</t>
  </si>
  <si>
    <t>3e</t>
  </si>
  <si>
    <t>Effectif</t>
  </si>
  <si>
    <t>F</t>
  </si>
  <si>
    <t>G</t>
  </si>
  <si>
    <t>%F</t>
  </si>
  <si>
    <t>A</t>
  </si>
  <si>
    <t>B</t>
  </si>
  <si>
    <t>C</t>
  </si>
  <si>
    <t>D</t>
  </si>
  <si>
    <t>E</t>
  </si>
  <si>
    <t>R</t>
  </si>
  <si>
    <t>Sport</t>
  </si>
  <si>
    <t>Latin</t>
  </si>
  <si>
    <t>All2</t>
  </si>
  <si>
    <t>Esp2</t>
  </si>
  <si>
    <t>Sans LV2</t>
  </si>
  <si>
    <t>NA</t>
  </si>
  <si>
    <t>Reste</t>
  </si>
  <si>
    <t>Totaux</t>
  </si>
  <si>
    <t>Nom</t>
  </si>
  <si>
    <t>Prénom</t>
  </si>
  <si>
    <t>Sexe</t>
  </si>
  <si>
    <t>Retard</t>
  </si>
  <si>
    <t>Niv</t>
  </si>
  <si>
    <t>Comp</t>
  </si>
  <si>
    <t>Cls orig</t>
  </si>
  <si>
    <t>Section</t>
  </si>
  <si>
    <t>Observations</t>
  </si>
  <si>
    <t>BARTH</t>
  </si>
  <si>
    <t>Rachida</t>
  </si>
  <si>
    <t>4e5</t>
  </si>
  <si>
    <t>TILLIET</t>
  </si>
  <si>
    <t>Sandrine</t>
  </si>
  <si>
    <t>4e4</t>
  </si>
  <si>
    <t>SIMONNOT</t>
  </si>
  <si>
    <t>Cédric</t>
  </si>
  <si>
    <t>4e7</t>
  </si>
  <si>
    <t>ATIFI</t>
  </si>
  <si>
    <t>Aline</t>
  </si>
  <si>
    <t>Très fort</t>
  </si>
  <si>
    <t>HURPOIL</t>
  </si>
  <si>
    <t>Julie</t>
  </si>
  <si>
    <t>Nv3e</t>
  </si>
  <si>
    <t>Peste</t>
  </si>
  <si>
    <t>NOEL</t>
  </si>
  <si>
    <t>Didier</t>
  </si>
  <si>
    <t>4e6</t>
  </si>
  <si>
    <t>SIMON</t>
  </si>
  <si>
    <t>Évelyne</t>
  </si>
  <si>
    <t>4e2</t>
  </si>
  <si>
    <t>Teigne</t>
  </si>
  <si>
    <t>CRÉVOULIN</t>
  </si>
  <si>
    <t>Marie-Louis</t>
  </si>
  <si>
    <t>GYMNASTIQUE</t>
  </si>
  <si>
    <t>Bon en français</t>
  </si>
  <si>
    <t>TRINQUET</t>
  </si>
  <si>
    <t>4e8</t>
  </si>
  <si>
    <t>Katia</t>
  </si>
  <si>
    <t>FOOTBALL</t>
  </si>
  <si>
    <t>FERREIRA</t>
  </si>
  <si>
    <t>Séverine</t>
  </si>
  <si>
    <t>4e3</t>
  </si>
  <si>
    <t>Bon en sport</t>
  </si>
  <si>
    <t>LLATY</t>
  </si>
  <si>
    <t>Sandra</t>
  </si>
  <si>
    <t>Bon en maths</t>
  </si>
  <si>
    <t>GOTTRANT</t>
  </si>
  <si>
    <t>Marie</t>
  </si>
  <si>
    <t>4e1</t>
  </si>
  <si>
    <t>TROCHAIN</t>
  </si>
  <si>
    <t>Jérémie</t>
  </si>
  <si>
    <t>BELNOT</t>
  </si>
  <si>
    <t>Pénible</t>
  </si>
  <si>
    <t>AUNOS</t>
  </si>
  <si>
    <t>Nicolas</t>
  </si>
  <si>
    <t>Jérôme</t>
  </si>
  <si>
    <t>Daniel</t>
  </si>
  <si>
    <t>Insupportable</t>
  </si>
  <si>
    <t>ARMATA</t>
  </si>
  <si>
    <t>GARNIER</t>
  </si>
  <si>
    <t>Franck</t>
  </si>
  <si>
    <t>BERTHEUX</t>
  </si>
  <si>
    <t>Florence</t>
  </si>
  <si>
    <t>BASKET</t>
  </si>
  <si>
    <t>Marie-Lourdes</t>
  </si>
  <si>
    <t>POINTU</t>
  </si>
  <si>
    <t>DEFRANCE</t>
  </si>
  <si>
    <t>Céline</t>
  </si>
  <si>
    <t>Guillaume</t>
  </si>
  <si>
    <t>CONVERT</t>
  </si>
  <si>
    <t>Nelly</t>
  </si>
  <si>
    <t>DEHRI</t>
  </si>
  <si>
    <t>LOISEAU</t>
  </si>
  <si>
    <t>Romain</t>
  </si>
  <si>
    <t>Clothilde</t>
  </si>
  <si>
    <t>CARDONNE</t>
  </si>
  <si>
    <t>PANTALEON</t>
  </si>
  <si>
    <t>Virginie</t>
  </si>
  <si>
    <t>DUS</t>
  </si>
  <si>
    <t>PIERRE</t>
  </si>
  <si>
    <t>Dominique</t>
  </si>
  <si>
    <t>POCHOT</t>
  </si>
  <si>
    <t>Isabelle</t>
  </si>
  <si>
    <t>CANDERAN</t>
  </si>
  <si>
    <t>Stéphane</t>
  </si>
  <si>
    <t>BIANCHI</t>
  </si>
  <si>
    <t>Mangni</t>
  </si>
  <si>
    <t>LABILLE</t>
  </si>
  <si>
    <t>Cécile</t>
  </si>
  <si>
    <t>HALATA</t>
  </si>
  <si>
    <t>RIVIÈRE</t>
  </si>
  <si>
    <t>Jean-Pierre</t>
  </si>
  <si>
    <t>SERVAS</t>
  </si>
  <si>
    <t>AGOSTINHO</t>
  </si>
  <si>
    <t>Nathalie</t>
  </si>
  <si>
    <t>REGNIER</t>
  </si>
  <si>
    <t>Carole</t>
  </si>
  <si>
    <t>GHARBI</t>
  </si>
  <si>
    <t>VANHAREN</t>
  </si>
  <si>
    <t>ROUVROY</t>
  </si>
  <si>
    <t>ARNON</t>
  </si>
  <si>
    <t>PRÉVOT</t>
  </si>
  <si>
    <t>Frédéric</t>
  </si>
  <si>
    <t>Collège Gd Froid - Pôle Nord - Rentrée R18</t>
  </si>
  <si>
    <t>Placés</t>
  </si>
  <si>
    <t>Prévus</t>
  </si>
  <si>
    <t>Liste</t>
  </si>
  <si>
    <t>TOTAUX</t>
  </si>
  <si>
    <t>Sans opt</t>
  </si>
  <si>
    <t>Sp-lat</t>
  </si>
  <si>
    <t>Effectifs</t>
  </si>
  <si>
    <t>Pour cet exemple, voici les contraintes :</t>
  </si>
  <si>
    <t xml:space="preserve"> All2</t>
  </si>
  <si>
    <t xml:space="preserve"> Latin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</si>
</sst>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6"/>
      <color rgb="FF3333CC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3333CC"/>
      <name val="Calibri"/>
      <family val="2"/>
      <scheme val="minor"/>
    </font>
    <font>
      <b/>
      <sz val="10"/>
      <color rgb="FF3333CC"/>
      <name val="Calibri"/>
      <family val="2"/>
      <scheme val="minor"/>
    </font>
    <font>
      <b/>
      <sz val="11"/>
      <color rgb="FF990000"/>
      <name val="Calibri"/>
      <family val="2"/>
      <scheme val="minor"/>
    </font>
    <font>
      <b/>
      <sz val="11"/>
      <color rgb="FF3333CC"/>
      <name val="Calibri"/>
      <family val="2"/>
      <scheme val="minor"/>
    </font>
    <font>
      <sz val="11"/>
      <color rgb="FF990000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sz val="11"/>
      <color rgb="FF990099"/>
      <name val="Calibri"/>
      <family val="2"/>
      <scheme val="minor"/>
    </font>
    <font>
      <b/>
      <sz val="11"/>
      <color rgb="FF003300"/>
      <name val="Calibri"/>
      <family val="2"/>
      <scheme val="minor"/>
    </font>
    <font>
      <b/>
      <sz val="11"/>
      <color rgb="FF333300"/>
      <name val="Calibri"/>
      <family val="2"/>
      <scheme val="minor"/>
    </font>
    <font>
      <b/>
      <sz val="11"/>
      <color rgb="FF330000"/>
      <name val="Calibri"/>
      <family val="2"/>
      <scheme val="minor"/>
    </font>
    <font>
      <b/>
      <sz val="11"/>
      <color rgb="FF333333"/>
      <name val="Calibri"/>
      <family val="2"/>
      <scheme val="minor"/>
    </font>
    <font>
      <b/>
      <sz val="11"/>
      <color rgb="FF000099"/>
      <name val="Calibri"/>
      <family val="2"/>
      <scheme val="minor"/>
    </font>
    <font>
      <b/>
      <sz val="11"/>
      <color rgb="FF330066"/>
      <name val="Calibri"/>
      <family val="2"/>
      <scheme val="minor"/>
    </font>
    <font>
      <b/>
      <sz val="11"/>
      <color rgb="FF000066"/>
      <name val="Calibri"/>
      <family val="2"/>
      <scheme val="minor"/>
    </font>
    <font>
      <sz val="11"/>
      <color rgb="FFFFFFFF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00CC33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99CCCC"/>
        <bgColor indexed="64"/>
      </patternFill>
    </fill>
    <fill>
      <patternFill patternType="solid">
        <fgColor rgb="FF6699CC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99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FF66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/>
    </xf>
    <xf numFmtId="0" fontId="10" fillId="13" borderId="4" xfId="0" applyFont="1" applyFill="1" applyBorder="1" applyAlignment="1">
      <alignment horizontal="center" vertical="center"/>
    </xf>
    <xf numFmtId="0" fontId="10" fillId="13" borderId="3" xfId="0" applyFont="1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7" xfId="0" applyFont="1" applyFill="1" applyBorder="1" applyAlignment="1" applyProtection="1">
      <alignment horizontal="center" vertical="center"/>
      <protection locked="0"/>
    </xf>
    <xf numFmtId="0" fontId="3" fillId="7" borderId="6" xfId="0" applyFont="1" applyFill="1" applyBorder="1" applyAlignment="1">
      <alignment horizontal="center" vertical="center"/>
    </xf>
    <xf numFmtId="0" fontId="3" fillId="7" borderId="7" xfId="0" applyFont="1" applyFill="1" applyBorder="1" applyAlignment="1" applyProtection="1">
      <alignment horizontal="center" vertical="center"/>
      <protection locked="0"/>
    </xf>
    <xf numFmtId="0" fontId="3" fillId="8" borderId="6" xfId="0" applyFont="1" applyFill="1" applyBorder="1" applyAlignment="1">
      <alignment horizontal="center" vertical="center"/>
    </xf>
    <xf numFmtId="0" fontId="3" fillId="8" borderId="7" xfId="0" applyFont="1" applyFill="1" applyBorder="1" applyAlignment="1" applyProtection="1">
      <alignment horizontal="center" vertical="center"/>
      <protection locked="0"/>
    </xf>
    <xf numFmtId="0" fontId="3" fillId="9" borderId="8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0" fontId="11" fillId="10" borderId="9" xfId="0" applyFont="1" applyFill="1" applyBorder="1" applyAlignment="1">
      <alignment horizontal="center" vertical="center"/>
    </xf>
    <xf numFmtId="0" fontId="11" fillId="10" borderId="7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 applyProtection="1">
      <alignment horizontal="center" vertical="center"/>
      <protection locked="0"/>
    </xf>
    <xf numFmtId="0" fontId="3" fillId="7" borderId="10" xfId="0" applyFont="1" applyFill="1" applyBorder="1" applyAlignment="1">
      <alignment horizontal="center" vertical="center"/>
    </xf>
    <xf numFmtId="0" fontId="3" fillId="7" borderId="11" xfId="0" applyFont="1" applyFill="1" applyBorder="1" applyAlignment="1" applyProtection="1">
      <alignment horizontal="center" vertical="center"/>
      <protection locked="0"/>
    </xf>
    <xf numFmtId="0" fontId="3" fillId="8" borderId="10" xfId="0" applyFont="1" applyFill="1" applyBorder="1" applyAlignment="1">
      <alignment horizontal="center" vertical="center"/>
    </xf>
    <xf numFmtId="0" fontId="3" fillId="8" borderId="11" xfId="0" applyFont="1" applyFill="1" applyBorder="1" applyAlignment="1" applyProtection="1">
      <alignment horizontal="center" vertical="center"/>
      <protection locked="0"/>
    </xf>
    <xf numFmtId="0" fontId="3" fillId="9" borderId="5" xfId="0" applyFont="1" applyFill="1" applyBorder="1" applyAlignment="1">
      <alignment horizontal="center" vertical="center"/>
    </xf>
    <xf numFmtId="0" fontId="11" fillId="10" borderId="10" xfId="0" applyFont="1" applyFill="1" applyBorder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1" fillId="10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 applyProtection="1">
      <alignment horizontal="center" vertical="center"/>
      <protection locked="0"/>
    </xf>
    <xf numFmtId="0" fontId="3" fillId="7" borderId="12" xfId="0" applyFont="1" applyFill="1" applyBorder="1" applyAlignment="1">
      <alignment horizontal="center" vertical="center"/>
    </xf>
    <xf numFmtId="0" fontId="3" fillId="7" borderId="13" xfId="0" applyFont="1" applyFill="1" applyBorder="1" applyAlignment="1" applyProtection="1">
      <alignment horizontal="center" vertical="center"/>
      <protection locked="0"/>
    </xf>
    <xf numFmtId="0" fontId="3" fillId="8" borderId="12" xfId="0" applyFont="1" applyFill="1" applyBorder="1" applyAlignment="1">
      <alignment horizontal="center" vertical="center"/>
    </xf>
    <xf numFmtId="0" fontId="3" fillId="8" borderId="13" xfId="0" applyFont="1" applyFill="1" applyBorder="1" applyAlignment="1" applyProtection="1">
      <alignment horizontal="center" vertical="center"/>
      <protection locked="0"/>
    </xf>
    <xf numFmtId="0" fontId="3" fillId="9" borderId="14" xfId="0" applyFont="1" applyFill="1" applyBorder="1" applyAlignment="1">
      <alignment horizontal="center" vertical="center"/>
    </xf>
    <xf numFmtId="0" fontId="11" fillId="10" borderId="12" xfId="0" applyFont="1" applyFill="1" applyBorder="1" applyAlignment="1">
      <alignment horizontal="center" vertical="center"/>
    </xf>
    <xf numFmtId="0" fontId="11" fillId="10" borderId="15" xfId="0" applyFont="1" applyFill="1" applyBorder="1" applyAlignment="1">
      <alignment horizontal="center" vertical="center"/>
    </xf>
    <xf numFmtId="0" fontId="11" fillId="10" borderId="13" xfId="0" applyFont="1" applyFill="1" applyBorder="1" applyAlignment="1">
      <alignment horizontal="center" vertical="center"/>
    </xf>
    <xf numFmtId="0" fontId="0" fillId="14" borderId="14" xfId="0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8" borderId="11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0" fontId="12" fillId="17" borderId="8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14" fillId="15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5" fillId="18" borderId="14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14" fillId="15" borderId="14" xfId="0" applyFont="1" applyFill="1" applyBorder="1" applyAlignment="1">
      <alignment horizontal="center" vertical="center"/>
    </xf>
    <xf numFmtId="0" fontId="13" fillId="10" borderId="14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7" fillId="20" borderId="8" xfId="0" applyFont="1" applyFill="1" applyBorder="1" applyAlignment="1">
      <alignment horizontal="center" vertical="center"/>
    </xf>
    <xf numFmtId="0" fontId="17" fillId="21" borderId="5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14" fillId="15" borderId="5" xfId="0" applyFont="1" applyFill="1" applyBorder="1" applyAlignment="1">
      <alignment horizontal="center" vertical="center"/>
    </xf>
    <xf numFmtId="0" fontId="13" fillId="10" borderId="5" xfId="0" applyFont="1" applyFill="1" applyBorder="1" applyAlignment="1">
      <alignment horizontal="center" vertical="center"/>
    </xf>
    <xf numFmtId="0" fontId="18" fillId="22" borderId="5" xfId="0" applyFont="1" applyFill="1" applyBorder="1" applyAlignment="1">
      <alignment horizontal="center" vertical="center"/>
    </xf>
    <xf numFmtId="0" fontId="19" fillId="23" borderId="5" xfId="0" applyFont="1" applyFill="1" applyBorder="1" applyAlignment="1">
      <alignment horizontal="center" vertical="center"/>
    </xf>
    <xf numFmtId="0" fontId="19" fillId="24" borderId="14" xfId="0" applyFont="1" applyFill="1" applyBorder="1" applyAlignment="1">
      <alignment horizontal="center" vertical="center"/>
    </xf>
    <xf numFmtId="0" fontId="20" fillId="12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21" fillId="25" borderId="8" xfId="0" applyFont="1" applyFill="1" applyBorder="1" applyAlignment="1">
      <alignment horizontal="center" vertical="center"/>
    </xf>
    <xf numFmtId="0" fontId="22" fillId="26" borderId="14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21" fillId="14" borderId="5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0" fillId="0" borderId="9" xfId="0" applyBorder="1"/>
    <xf numFmtId="0" fontId="0" fillId="0" borderId="0" xfId="0" applyProtection="1">
      <protection locked="0"/>
    </xf>
    <xf numFmtId="0" fontId="8" fillId="10" borderId="2" xfId="0" applyFont="1" applyFill="1" applyBorder="1" applyAlignment="1" applyProtection="1">
      <alignment horizontal="center" vertical="center"/>
      <protection locked="0"/>
    </xf>
    <xf numFmtId="0" fontId="8" fillId="10" borderId="4" xfId="0" applyFont="1" applyFill="1" applyBorder="1" applyAlignment="1" applyProtection="1">
      <alignment horizontal="center" vertical="center"/>
      <protection locked="0"/>
    </xf>
    <xf numFmtId="0" fontId="24" fillId="5" borderId="4" xfId="0" applyFont="1" applyFill="1" applyBorder="1" applyAlignment="1" applyProtection="1">
      <alignment horizontal="center" vertical="center"/>
      <protection locked="0"/>
    </xf>
    <xf numFmtId="0" fontId="21" fillId="14" borderId="4" xfId="0" applyFont="1" applyFill="1" applyBorder="1" applyAlignment="1" applyProtection="1">
      <alignment horizontal="center" vertical="center"/>
      <protection locked="0"/>
    </xf>
    <xf numFmtId="0" fontId="21" fillId="25" borderId="4" xfId="0" applyFont="1" applyFill="1" applyBorder="1" applyAlignment="1" applyProtection="1">
      <alignment horizontal="center" vertical="center"/>
      <protection locked="0"/>
    </xf>
    <xf numFmtId="0" fontId="22" fillId="26" borderId="4" xfId="0" applyFont="1" applyFill="1" applyBorder="1" applyAlignment="1" applyProtection="1">
      <alignment horizontal="center" vertical="center"/>
      <protection locked="0"/>
    </xf>
    <xf numFmtId="0" fontId="8" fillId="10" borderId="3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7" borderId="0" xfId="0" applyFill="1"/>
    <xf numFmtId="0" fontId="0" fillId="8" borderId="0" xfId="0" applyFill="1"/>
    <xf numFmtId="0" fontId="0" fillId="27" borderId="0" xfId="0" applyFill="1"/>
    <xf numFmtId="0" fontId="1" fillId="0" borderId="0" xfId="0" applyFont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</cellXfs>
  <cellStyles count="1">
    <cellStyle name="Normal" xfId="0" builtinId="0"/>
  </cellStyles>
  <dxfs count="94">
    <dxf>
      <font>
        <color rgb="FF330066"/>
      </font>
      <fill>
        <patternFill>
          <bgColor rgb="FFCC99FF"/>
        </patternFill>
      </fill>
    </dxf>
    <dxf>
      <font>
        <color rgb="FF000099"/>
      </font>
      <fill>
        <patternFill>
          <bgColor rgb="FF00FFFF"/>
        </patternFill>
      </fill>
    </dxf>
    <dxf>
      <font>
        <color rgb="FF000099"/>
      </font>
      <fill>
        <patternFill>
          <bgColor rgb="FF99CCFF"/>
        </patternFill>
      </fill>
    </dxf>
    <dxf>
      <font>
        <color rgb="FF99CCCC"/>
      </font>
    </dxf>
    <dxf>
      <font>
        <color rgb="FF99CCCC"/>
      </font>
    </dxf>
    <dxf>
      <font>
        <color rgb="FF669999"/>
      </font>
    </dxf>
    <dxf>
      <font>
        <color rgb="FF669999"/>
      </font>
    </dxf>
    <dxf>
      <font>
        <color rgb="FF99CCCC"/>
      </font>
    </dxf>
    <dxf>
      <font>
        <color rgb="FF669999"/>
      </font>
    </dxf>
    <dxf>
      <font>
        <color rgb="FFFFFFCC"/>
      </font>
    </dxf>
    <dxf>
      <font>
        <color rgb="FFFFFFCC"/>
      </font>
    </dxf>
    <dxf>
      <font>
        <color rgb="FFCCCC99"/>
      </font>
    </dxf>
    <dxf>
      <font>
        <color rgb="FFFFFFCC"/>
      </font>
      <fill>
        <patternFill>
          <bgColor rgb="FF990000"/>
        </patternFill>
      </fill>
    </dxf>
    <dxf>
      <fill>
        <patternFill>
          <bgColor rgb="FFCCCCCC"/>
        </patternFill>
      </fill>
    </dxf>
    <dxf>
      <fill>
        <patternFill>
          <bgColor rgb="FFFF99FF"/>
        </patternFill>
      </fill>
    </dxf>
    <dxf>
      <fill>
        <patternFill>
          <bgColor rgb="FF99FFFF"/>
        </patternFill>
      </fill>
    </dxf>
    <dxf>
      <fill>
        <patternFill>
          <bgColor rgb="FF66FF99"/>
        </patternFill>
      </fill>
    </dxf>
    <dxf>
      <font>
        <color rgb="FFCCCC99"/>
      </font>
    </dxf>
    <dxf>
      <font>
        <color rgb="FFFFFFCC"/>
      </font>
    </dxf>
    <dxf>
      <font>
        <color rgb="FFCCCC99"/>
      </font>
    </dxf>
    <dxf>
      <font>
        <color rgb="FFCCCCCC"/>
      </font>
    </dxf>
    <dxf>
      <font>
        <color rgb="FFCCCCCC"/>
      </font>
    </dxf>
    <dxf>
      <font>
        <color rgb="FF999999"/>
      </font>
    </dxf>
    <dxf>
      <font>
        <color rgb="FF999999"/>
      </font>
    </dxf>
    <dxf>
      <font>
        <color rgb="FFCCCCCC"/>
      </font>
    </dxf>
    <dxf>
      <font>
        <color rgb="FF999999"/>
      </font>
    </dxf>
    <dxf>
      <font>
        <color rgb="FFFF99FF"/>
      </font>
    </dxf>
    <dxf>
      <font>
        <color rgb="FFFF99FF"/>
      </font>
    </dxf>
    <dxf>
      <font>
        <color rgb="FFFF00FF"/>
      </font>
    </dxf>
    <dxf>
      <font>
        <color rgb="FF330000"/>
      </font>
      <fill>
        <patternFill>
          <bgColor rgb="FFFF0000"/>
        </patternFill>
      </fill>
    </dxf>
    <dxf>
      <font>
        <color rgb="FF330000"/>
      </font>
      <fill>
        <patternFill>
          <bgColor rgb="FFFF6600"/>
        </patternFill>
      </fill>
    </dxf>
    <dxf>
      <font>
        <color rgb="FF333300"/>
      </font>
      <fill>
        <patternFill>
          <bgColor rgb="FFFFFF00"/>
        </patternFill>
      </fill>
    </dxf>
    <dxf>
      <font>
        <color rgb="FF003300"/>
      </font>
      <fill>
        <patternFill>
          <bgColor rgb="FF99FF33"/>
        </patternFill>
      </fill>
    </dxf>
    <dxf>
      <font>
        <color rgb="FF003300"/>
      </font>
      <fill>
        <patternFill>
          <bgColor rgb="FF00FF00"/>
        </patternFill>
      </fill>
    </dxf>
    <dxf>
      <font>
        <color rgb="FFFF00FF"/>
      </font>
    </dxf>
    <dxf>
      <font>
        <color rgb="FFFF99FF"/>
      </font>
    </dxf>
    <dxf>
      <font>
        <color rgb="FFFF00FF"/>
      </font>
    </dxf>
    <dxf>
      <font>
        <color rgb="FF99FFFF"/>
      </font>
    </dxf>
    <dxf>
      <font>
        <color rgb="FF99FFFF"/>
      </font>
    </dxf>
    <dxf>
      <font>
        <color rgb="FF00CCCC"/>
      </font>
    </dxf>
    <dxf>
      <font>
        <color rgb="FF333333"/>
      </font>
      <fill>
        <patternFill>
          <bgColor rgb="FF999999"/>
        </patternFill>
      </fill>
    </dxf>
    <dxf>
      <font>
        <color rgb="FF00CCCC"/>
      </font>
    </dxf>
    <dxf>
      <font>
        <color rgb="FF99FFFF"/>
      </font>
    </dxf>
    <dxf>
      <font>
        <color rgb="FF00CCCC"/>
      </font>
    </dxf>
    <dxf>
      <font>
        <color rgb="FF66FF99"/>
      </font>
    </dxf>
    <dxf>
      <font>
        <color rgb="FF66FF99"/>
      </font>
    </dxf>
    <dxf>
      <font>
        <color rgb="FF00CC33"/>
      </font>
    </dxf>
    <dxf>
      <font>
        <color rgb="FF0000CC"/>
      </font>
      <fill>
        <patternFill>
          <bgColor rgb="FF66CCFF"/>
        </patternFill>
      </fill>
    </dxf>
    <dxf>
      <font>
        <color rgb="FF990000"/>
      </font>
      <fill>
        <patternFill>
          <bgColor rgb="FFFF6666"/>
        </patternFill>
      </fill>
    </dxf>
    <dxf>
      <font>
        <color rgb="FF00CC33"/>
      </font>
    </dxf>
    <dxf>
      <font>
        <color rgb="FF66FF99"/>
      </font>
    </dxf>
    <dxf>
      <font>
        <color rgb="FF00CC33"/>
      </font>
    </dxf>
    <dxf>
      <font>
        <b/>
        <color rgb="FF990000"/>
      </font>
      <fill>
        <patternFill>
          <bgColor rgb="FFFFFFCC"/>
        </patternFill>
      </fill>
    </dxf>
    <dxf>
      <font>
        <b/>
        <color rgb="FFFF0000"/>
      </font>
      <fill>
        <patternFill>
          <bgColor rgb="FF000000"/>
        </patternFill>
      </fill>
    </dxf>
    <dxf>
      <font>
        <color rgb="FF999999"/>
      </font>
      <fill>
        <patternFill>
          <bgColor rgb="FFCCCCCC"/>
        </patternFill>
      </fill>
    </dxf>
    <dxf>
      <fill>
        <patternFill>
          <bgColor rgb="FFFF99FF"/>
        </patternFill>
      </fill>
    </dxf>
    <dxf>
      <fill>
        <patternFill>
          <bgColor rgb="FF99FFFF"/>
        </patternFill>
      </fill>
    </dxf>
    <dxf>
      <fill>
        <patternFill>
          <bgColor rgb="FF66FF99"/>
        </patternFill>
      </fill>
    </dxf>
    <dxf>
      <font>
        <b/>
        <i/>
        <color rgb="FF660000"/>
      </font>
      <fill>
        <patternFill>
          <bgColor rgb="FFFF0000"/>
        </patternFill>
      </fill>
    </dxf>
    <dxf>
      <font>
        <b/>
        <i/>
        <color rgb="FF660000"/>
      </font>
      <fill>
        <patternFill>
          <bgColor rgb="FFFF6600"/>
        </patternFill>
      </fill>
    </dxf>
    <dxf>
      <font>
        <b/>
        <i/>
        <color rgb="FFFF0000"/>
      </font>
    </dxf>
    <dxf>
      <font>
        <b/>
        <color rgb="FFFFFFFF"/>
      </font>
      <fill>
        <patternFill>
          <bgColor rgb="FFFF0000"/>
        </patternFill>
      </fill>
    </dxf>
    <dxf>
      <font>
        <color rgb="FF669999"/>
      </font>
    </dxf>
    <dxf>
      <font>
        <color rgb="FF669999"/>
      </font>
    </dxf>
    <dxf>
      <font>
        <color rgb="FF99CCCC"/>
      </font>
    </dxf>
    <dxf>
      <font>
        <b/>
        <color rgb="FFFF0000"/>
      </font>
      <fill>
        <patternFill>
          <bgColor rgb="FF000000"/>
        </patternFill>
      </fill>
    </dxf>
    <dxf>
      <font>
        <color rgb="FF669999"/>
      </font>
    </dxf>
    <dxf>
      <font>
        <color rgb="FF669999"/>
      </font>
    </dxf>
    <dxf>
      <font>
        <color rgb="FF999999"/>
      </font>
    </dxf>
    <dxf>
      <font>
        <color rgb="FFCCCCCC"/>
      </font>
    </dxf>
    <dxf>
      <font>
        <color rgb="FF999999"/>
      </font>
    </dxf>
    <dxf>
      <font>
        <color rgb="FF999999"/>
      </font>
    </dxf>
    <dxf>
      <font>
        <color rgb="FF999999"/>
      </font>
    </dxf>
    <dxf>
      <font>
        <color rgb="FFFF99FF"/>
      </font>
    </dxf>
    <dxf>
      <font>
        <color rgb="FFFF00FF"/>
      </font>
    </dxf>
    <dxf>
      <font>
        <color rgb="FFFF00FF"/>
      </font>
    </dxf>
    <dxf>
      <font>
        <color rgb="FFFF99FF"/>
      </font>
    </dxf>
    <dxf>
      <font>
        <b/>
        <color rgb="FFFF0000"/>
      </font>
      <fill>
        <patternFill>
          <bgColor rgb="FF000000"/>
        </patternFill>
      </fill>
    </dxf>
    <dxf>
      <font>
        <color rgb="FFFF00FF"/>
      </font>
    </dxf>
    <dxf>
      <font>
        <color rgb="FFFF00FF"/>
      </font>
    </dxf>
    <dxf>
      <font>
        <color rgb="FF99FFFF"/>
      </font>
    </dxf>
    <dxf>
      <font>
        <color rgb="FF00CCCC"/>
      </font>
    </dxf>
    <dxf>
      <font>
        <color rgb="FF00CCCC"/>
      </font>
    </dxf>
    <dxf>
      <font>
        <color rgb="FF99FFFF"/>
      </font>
    </dxf>
    <dxf>
      <font>
        <b/>
        <color rgb="FFFF0000"/>
      </font>
      <fill>
        <patternFill>
          <bgColor rgb="FF000000"/>
        </patternFill>
      </fill>
    </dxf>
    <dxf>
      <font>
        <color rgb="FF00CCCC"/>
      </font>
    </dxf>
    <dxf>
      <font>
        <color rgb="FF00CCCC"/>
      </font>
    </dxf>
    <dxf>
      <font>
        <color rgb="FF66FF99"/>
      </font>
    </dxf>
    <dxf>
      <font>
        <color rgb="FF00CC33"/>
      </font>
    </dxf>
    <dxf>
      <font>
        <color rgb="FF00CC33"/>
      </font>
    </dxf>
    <dxf>
      <font>
        <color rgb="FF66FF99"/>
      </font>
    </dxf>
    <dxf>
      <font>
        <b/>
        <color rgb="FFFF0000"/>
      </font>
      <fill>
        <patternFill>
          <bgColor rgb="FF000000"/>
        </patternFill>
      </fill>
    </dxf>
    <dxf>
      <font>
        <color rgb="FF00CC33"/>
      </font>
    </dxf>
    <dxf>
      <font>
        <color rgb="FF00CC33"/>
      </font>
    </dxf>
  </dxfs>
  <tableStyles count="0" defaultTableStyle="TableStyleMedium9" defaultPivotStyle="PivotStyleLight16"/>
  <colors>
    <mruColors>
      <color rgb="FFFF99FF"/>
      <color rgb="FF99FFFF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  <pageSetUpPr fitToPage="1"/>
  </sheetPr>
  <dimension ref="A1:K32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K1"/>
    </sheetView>
  </sheetViews>
  <sheetFormatPr baseColWidth="10" defaultColWidth="9.140625" defaultRowHeight="15" outlineLevelRow="1" x14ac:dyDescent="0.25"/>
  <cols>
    <col min="1" max="1" width="10.7109375" customWidth="1"/>
    <col min="2" max="11" width="7.7109375" customWidth="1"/>
  </cols>
  <sheetData>
    <row r="1" spans="1:11" ht="42" customHeight="1" x14ac:dyDescent="0.25">
      <c r="A1" s="129" t="s">
        <v>127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</row>
    <row r="2" spans="1:11" ht="21" x14ac:dyDescent="0.25">
      <c r="A2" s="1" t="s">
        <v>0</v>
      </c>
      <c r="B2" s="2" t="s">
        <v>128</v>
      </c>
      <c r="C2" s="3" t="s">
        <v>129</v>
      </c>
      <c r="D2" s="2" t="s">
        <v>128</v>
      </c>
      <c r="E2" s="4" t="s">
        <v>129</v>
      </c>
      <c r="F2" s="2" t="s">
        <v>128</v>
      </c>
      <c r="G2" s="5" t="s">
        <v>129</v>
      </c>
      <c r="H2" s="2" t="s">
        <v>128</v>
      </c>
      <c r="I2" s="2" t="s">
        <v>128</v>
      </c>
      <c r="J2" s="6" t="s">
        <v>129</v>
      </c>
      <c r="K2" s="2" t="s">
        <v>130</v>
      </c>
    </row>
    <row r="3" spans="1:11" ht="21" x14ac:dyDescent="0.25">
      <c r="A3" s="7" t="s">
        <v>4</v>
      </c>
      <c r="B3" s="130">
        <v>1</v>
      </c>
      <c r="C3" s="130"/>
      <c r="D3" s="131">
        <v>2</v>
      </c>
      <c r="E3" s="131"/>
      <c r="F3" s="132">
        <v>3</v>
      </c>
      <c r="G3" s="132"/>
      <c r="H3" s="8" t="s">
        <v>20</v>
      </c>
      <c r="I3" s="133" t="s">
        <v>131</v>
      </c>
      <c r="J3" s="133"/>
      <c r="K3" s="133"/>
    </row>
    <row r="4" spans="1:11" ht="15.75" x14ac:dyDescent="0.25">
      <c r="A4" s="9" t="s">
        <v>17</v>
      </c>
      <c r="B4" s="10">
        <f>COUNTIFS(_Classe,B3,_All2,1)</f>
        <v>27</v>
      </c>
      <c r="C4" s="11">
        <f>SUM(C5:C8)</f>
        <v>27</v>
      </c>
      <c r="D4" s="12">
        <f>COUNTIFS(_Classe,D3,_All2,1)</f>
        <v>0</v>
      </c>
      <c r="E4" s="13">
        <f>SUM(E5:E8)</f>
        <v>0</v>
      </c>
      <c r="F4" s="14">
        <f>COUNTIFS(_Classe,F3,_All2,1)</f>
        <v>17</v>
      </c>
      <c r="G4" s="15">
        <f>SUM(G5:G8)</f>
        <v>17</v>
      </c>
      <c r="H4" s="16">
        <f>COUNTIFS(_Classe,H3,_All2,1)</f>
        <v>0</v>
      </c>
      <c r="I4" s="17">
        <f t="shared" ref="I4:I18" si="0">SUM(B4,D4,F4,H4)</f>
        <v>44</v>
      </c>
      <c r="J4" s="18">
        <f t="shared" ref="J4:J18" si="1">SUM(C4,E4,G4)</f>
        <v>44</v>
      </c>
      <c r="K4" s="19">
        <f>COUNTIFS(_All2,1)</f>
        <v>44</v>
      </c>
    </row>
    <row r="5" spans="1:11" outlineLevel="1" x14ac:dyDescent="0.25">
      <c r="A5" s="20" t="s">
        <v>132</v>
      </c>
      <c r="B5" s="21">
        <f>COUNTIFS(_Classe,B3,_All2,1,_Sport,"",_Latin,"")</f>
        <v>17</v>
      </c>
      <c r="C5" s="22">
        <v>17</v>
      </c>
      <c r="D5" s="23">
        <f>COUNTIFS(_Classe,D3,_All2,1,_Sport,"",_Latin,"")</f>
        <v>0</v>
      </c>
      <c r="E5" s="24"/>
      <c r="F5" s="25">
        <f>COUNTIFS(_Classe,F3,_All2,1,_Sport,"",_Latin,"")</f>
        <v>11</v>
      </c>
      <c r="G5" s="26">
        <v>11</v>
      </c>
      <c r="H5" s="27">
        <f>COUNTIFS(_Classe,H3,_All2,1,_Sport,"",_Latin,"")</f>
        <v>0</v>
      </c>
      <c r="I5" s="28">
        <f t="shared" si="0"/>
        <v>28</v>
      </c>
      <c r="J5" s="29">
        <f t="shared" si="1"/>
        <v>28</v>
      </c>
      <c r="K5" s="30">
        <f>COUNTIFS(_All2,1,_Sport,"",_Latin,"")</f>
        <v>28</v>
      </c>
    </row>
    <row r="6" spans="1:11" outlineLevel="1" x14ac:dyDescent="0.25">
      <c r="A6" s="20" t="s">
        <v>15</v>
      </c>
      <c r="B6" s="31">
        <f>COUNTIFS(_Classe,B3,_All2,1,_Sport,1,_Latin,"")</f>
        <v>4</v>
      </c>
      <c r="C6" s="32">
        <v>4</v>
      </c>
      <c r="D6" s="33">
        <f>COUNTIFS(_Classe,D3,_All2,1,_Sport,1,_Latin,"")</f>
        <v>0</v>
      </c>
      <c r="E6" s="34"/>
      <c r="F6" s="35">
        <f>COUNTIFS(_Classe,F3,_All2,1,_Sport,1,_Latin,"")</f>
        <v>6</v>
      </c>
      <c r="G6" s="36">
        <v>6</v>
      </c>
      <c r="H6" s="37">
        <f>COUNTIFS(_Classe,H3,_All2,1,_Sport,1,_Latin,"")</f>
        <v>0</v>
      </c>
      <c r="I6" s="38">
        <f t="shared" si="0"/>
        <v>10</v>
      </c>
      <c r="J6" s="39">
        <f t="shared" si="1"/>
        <v>10</v>
      </c>
      <c r="K6" s="40">
        <f>COUNTIFS(_All2,1,_Sport,1,_Latin,"")</f>
        <v>10</v>
      </c>
    </row>
    <row r="7" spans="1:11" outlineLevel="1" x14ac:dyDescent="0.25">
      <c r="A7" s="20" t="s">
        <v>16</v>
      </c>
      <c r="B7" s="31">
        <f>COUNTIFS(_Classe,B3,_All2,1,_Sport,"",_Latin,1)</f>
        <v>3</v>
      </c>
      <c r="C7" s="32">
        <v>3</v>
      </c>
      <c r="D7" s="33">
        <f>COUNTIFS(_Classe,D3,_All2,1,_Sport,"",_Latin,1)</f>
        <v>0</v>
      </c>
      <c r="E7" s="34"/>
      <c r="F7" s="35">
        <f>COUNTIFS(_Classe,F3,_All2,1,_Sport,"",_Latin,1)</f>
        <v>0</v>
      </c>
      <c r="G7" s="36"/>
      <c r="H7" s="37">
        <f>COUNTIFS(_Classe,H3,_All2,1,_Sport,"",_Latin,1)</f>
        <v>0</v>
      </c>
      <c r="I7" s="38">
        <f t="shared" si="0"/>
        <v>3</v>
      </c>
      <c r="J7" s="39">
        <f t="shared" si="1"/>
        <v>3</v>
      </c>
      <c r="K7" s="40">
        <f>COUNTIFS(_All2,1,_Sport,"",_Latin,1)</f>
        <v>3</v>
      </c>
    </row>
    <row r="8" spans="1:11" outlineLevel="1" x14ac:dyDescent="0.25">
      <c r="A8" s="20" t="s">
        <v>133</v>
      </c>
      <c r="B8" s="41">
        <f>COUNTIFS(_Classe,B3,_All2,1,_Sport,1,_Latin,1)</f>
        <v>3</v>
      </c>
      <c r="C8" s="42">
        <v>3</v>
      </c>
      <c r="D8" s="43">
        <f>COUNTIFS(_Classe,D3,_All2,1,_Sport,1,_Latin,1)</f>
        <v>0</v>
      </c>
      <c r="E8" s="44"/>
      <c r="F8" s="45">
        <f>COUNTIFS(_Classe,F3,_All2,1,_Sport,1,_Latin,1)</f>
        <v>0</v>
      </c>
      <c r="G8" s="46"/>
      <c r="H8" s="47">
        <f>COUNTIFS(_Classe,H3,_All2,1,_Sport,1,_Latin,1)</f>
        <v>0</v>
      </c>
      <c r="I8" s="48">
        <f t="shared" si="0"/>
        <v>3</v>
      </c>
      <c r="J8" s="49">
        <f t="shared" si="1"/>
        <v>3</v>
      </c>
      <c r="K8" s="50">
        <f>COUNTIFS(_All2,1,_Sport,1,_Latin,1)</f>
        <v>3</v>
      </c>
    </row>
    <row r="9" spans="1:11" ht="15.75" x14ac:dyDescent="0.25">
      <c r="A9" s="9" t="s">
        <v>18</v>
      </c>
      <c r="B9" s="10">
        <f>COUNTIFS(_Classe,B3,_Esp2,1)</f>
        <v>0</v>
      </c>
      <c r="C9" s="11">
        <f>SUM(C10:C13)</f>
        <v>0</v>
      </c>
      <c r="D9" s="12">
        <f>COUNTIFS(_Classe,D3,_Esp2,1)</f>
        <v>28</v>
      </c>
      <c r="E9" s="13">
        <f>SUM(E10:E13)</f>
        <v>28</v>
      </c>
      <c r="F9" s="14">
        <f>COUNTIFS(_Classe,F3,_Esp2,1)</f>
        <v>10</v>
      </c>
      <c r="G9" s="15">
        <f>SUM(G10:G13)</f>
        <v>10</v>
      </c>
      <c r="H9" s="16">
        <f>COUNTIFS(_Classe,H3,_Esp2,1)</f>
        <v>0</v>
      </c>
      <c r="I9" s="17">
        <f t="shared" si="0"/>
        <v>38</v>
      </c>
      <c r="J9" s="18">
        <f t="shared" si="1"/>
        <v>38</v>
      </c>
      <c r="K9" s="19">
        <f>COUNTIFS(_Esp2,1)</f>
        <v>38</v>
      </c>
    </row>
    <row r="10" spans="1:11" outlineLevel="1" x14ac:dyDescent="0.25">
      <c r="A10" s="20" t="s">
        <v>132</v>
      </c>
      <c r="B10" s="21">
        <f>COUNTIFS(_Classe,B3,_Esp2,1,_Sport,"",_Latin,"")</f>
        <v>0</v>
      </c>
      <c r="C10" s="22"/>
      <c r="D10" s="23">
        <f>COUNTIFS(_Classe,D3,_Esp2,1,_Sport,"",_Latin,"")</f>
        <v>26</v>
      </c>
      <c r="E10" s="24">
        <v>26</v>
      </c>
      <c r="F10" s="25">
        <f>COUNTIFS(_Classe,F3,_Esp2,1,_Sport,"",_Latin,"")</f>
        <v>6</v>
      </c>
      <c r="G10" s="26">
        <v>6</v>
      </c>
      <c r="H10" s="27">
        <f>COUNTIFS(_Classe,H3,_Esp2,1,_Sport,"",_Latin,"")</f>
        <v>0</v>
      </c>
      <c r="I10" s="28">
        <f t="shared" si="0"/>
        <v>32</v>
      </c>
      <c r="J10" s="29">
        <f t="shared" si="1"/>
        <v>32</v>
      </c>
      <c r="K10" s="30">
        <f>COUNTIFS(_Esp2,1,_Sport,"",_Latin,"")</f>
        <v>32</v>
      </c>
    </row>
    <row r="11" spans="1:11" outlineLevel="1" x14ac:dyDescent="0.25">
      <c r="A11" s="20" t="s">
        <v>15</v>
      </c>
      <c r="B11" s="31">
        <f>COUNTIFS(_Classe,B3,_Esp2,1,_Sport,1,_Latin,"")</f>
        <v>0</v>
      </c>
      <c r="C11" s="32"/>
      <c r="D11" s="33">
        <f>COUNTIFS(_Classe,D3,_Esp2,1,_Sport,1,_Latin,"")</f>
        <v>0</v>
      </c>
      <c r="E11" s="34"/>
      <c r="F11" s="35">
        <f>COUNTIFS(_Classe,F3,_Esp2,1,_Sport,1,_Latin,"")</f>
        <v>4</v>
      </c>
      <c r="G11" s="36">
        <v>4</v>
      </c>
      <c r="H11" s="37">
        <f>COUNTIFS(_Classe,H3,_Esp2,1,_Sport,1,_Latin,"")</f>
        <v>0</v>
      </c>
      <c r="I11" s="38">
        <f t="shared" si="0"/>
        <v>4</v>
      </c>
      <c r="J11" s="39">
        <f t="shared" si="1"/>
        <v>4</v>
      </c>
      <c r="K11" s="40">
        <f>COUNTIFS(_Esp2,1,_Sport,1,_Latin,"")</f>
        <v>4</v>
      </c>
    </row>
    <row r="12" spans="1:11" outlineLevel="1" x14ac:dyDescent="0.25">
      <c r="A12" s="20" t="s">
        <v>16</v>
      </c>
      <c r="B12" s="31">
        <f>COUNTIFS(_Classe,B3,_Esp2,1,_Sport,"",_Latin,1)</f>
        <v>0</v>
      </c>
      <c r="C12" s="32"/>
      <c r="D12" s="33">
        <f>COUNTIFS(_Classe,D3,_Esp2,1,_Sport,"",_Latin,1)</f>
        <v>2</v>
      </c>
      <c r="E12" s="34">
        <v>2</v>
      </c>
      <c r="F12" s="35">
        <f>COUNTIFS(_Classe,F3,_Esp2,1,_Sport,"",_Latin,1)</f>
        <v>0</v>
      </c>
      <c r="G12" s="36"/>
      <c r="H12" s="37">
        <f>COUNTIFS(_Classe,H3,_Esp2,1,_Sport,"",_Latin,1)</f>
        <v>0</v>
      </c>
      <c r="I12" s="38">
        <f t="shared" si="0"/>
        <v>2</v>
      </c>
      <c r="J12" s="39">
        <f t="shared" si="1"/>
        <v>2</v>
      </c>
      <c r="K12" s="40">
        <f>COUNTIFS(_Esp2,1,_Sport,"",_Latin,1)</f>
        <v>2</v>
      </c>
    </row>
    <row r="13" spans="1:11" outlineLevel="1" x14ac:dyDescent="0.25">
      <c r="A13" s="20" t="s">
        <v>133</v>
      </c>
      <c r="B13" s="41">
        <f>COUNTIFS(_Classe,B3,_Esp2,1,_Sport,1,_Latin,1)</f>
        <v>0</v>
      </c>
      <c r="C13" s="42"/>
      <c r="D13" s="43">
        <f>COUNTIFS(_Classe,D3,_Esp2,1,_Sport,1,_Latin,1)</f>
        <v>0</v>
      </c>
      <c r="E13" s="44"/>
      <c r="F13" s="45">
        <f>COUNTIFS(_Classe,F3,_Esp2,1,_Sport,1,_Latin,1)</f>
        <v>0</v>
      </c>
      <c r="G13" s="46"/>
      <c r="H13" s="47">
        <f>COUNTIFS(_Classe,H3,_Esp2,1,_Sport,1,_Latin,1)</f>
        <v>0</v>
      </c>
      <c r="I13" s="48">
        <f t="shared" si="0"/>
        <v>0</v>
      </c>
      <c r="J13" s="49">
        <f t="shared" si="1"/>
        <v>0</v>
      </c>
      <c r="K13" s="50">
        <f>COUNTIFS(_Esp2,1,_Sport,1,_Latin,1)</f>
        <v>0</v>
      </c>
    </row>
    <row r="14" spans="1:11" ht="15.75" collapsed="1" x14ac:dyDescent="0.25">
      <c r="A14" s="9" t="s">
        <v>19</v>
      </c>
      <c r="B14" s="10">
        <f>COUNTIFS(_Classe,B3,_All2,"",_Esp2,"")</f>
        <v>0</v>
      </c>
      <c r="C14" s="11">
        <f>SUM(C15:C18)</f>
        <v>0</v>
      </c>
      <c r="D14" s="12">
        <f>COUNTIFS(_Classe,D3,_All2,"",_Esp2,"")</f>
        <v>0</v>
      </c>
      <c r="E14" s="13">
        <f>SUM(E15:E18)</f>
        <v>0</v>
      </c>
      <c r="F14" s="14">
        <f>COUNTIFS(_Classe,F3,_All2,"",_Esp2,"")</f>
        <v>0</v>
      </c>
      <c r="G14" s="15">
        <f>SUM(G15:G18)</f>
        <v>0</v>
      </c>
      <c r="H14" s="16">
        <f>COUNTIFS(_Classe,H3,_All2,"",_Esp2,"")</f>
        <v>0</v>
      </c>
      <c r="I14" s="17">
        <f t="shared" si="0"/>
        <v>0</v>
      </c>
      <c r="J14" s="18">
        <f t="shared" si="1"/>
        <v>0</v>
      </c>
      <c r="K14" s="19">
        <f>COUNTIFS(_All2,"",_Esp2,"")</f>
        <v>0</v>
      </c>
    </row>
    <row r="15" spans="1:11" hidden="1" outlineLevel="1" x14ac:dyDescent="0.25">
      <c r="A15" s="20" t="s">
        <v>132</v>
      </c>
      <c r="B15" s="21">
        <f>COUNTIFS(_Classe,B3,_All2,"",_Esp2,"",_Sport,"",_Latin,"")</f>
        <v>0</v>
      </c>
      <c r="C15" s="22"/>
      <c r="D15" s="23">
        <f>COUNTIFS(_Classe,D3,_All2,"",_Esp2,"",_Sport,"",_Latin,"")</f>
        <v>0</v>
      </c>
      <c r="E15" s="24"/>
      <c r="F15" s="25">
        <f>COUNTIFS(_Classe,F3,_All2,"",_Esp2,"",_Sport,"",_Latin,"")</f>
        <v>0</v>
      </c>
      <c r="G15" s="26"/>
      <c r="H15" s="27">
        <f>COUNTIFS(_Classe,H3,_All2,"",_Esp2,"",_Sport,"",_Latin,"")</f>
        <v>0</v>
      </c>
      <c r="I15" s="28">
        <f t="shared" si="0"/>
        <v>0</v>
      </c>
      <c r="J15" s="29">
        <f t="shared" si="1"/>
        <v>0</v>
      </c>
      <c r="K15" s="30">
        <f>COUNTIFS(_All2,"",_Esp2,"",_Sport,"",_Latin,"")</f>
        <v>0</v>
      </c>
    </row>
    <row r="16" spans="1:11" hidden="1" outlineLevel="1" x14ac:dyDescent="0.25">
      <c r="A16" s="20" t="s">
        <v>15</v>
      </c>
      <c r="B16" s="31">
        <f>COUNTIFS(_Classe,B3,_All2,"",_Esp2,"",_Sport,1,_Latin,"")</f>
        <v>0</v>
      </c>
      <c r="C16" s="32"/>
      <c r="D16" s="33">
        <f>COUNTIFS(_Classe,D3,_All2,"",_Esp2,"",_Sport,1,_Latin,"")</f>
        <v>0</v>
      </c>
      <c r="E16" s="34"/>
      <c r="F16" s="35">
        <f>COUNTIFS(_Classe,F3,_All2,"",_Esp2,"",_Sport,1,_Latin,"")</f>
        <v>0</v>
      </c>
      <c r="G16" s="36"/>
      <c r="H16" s="37">
        <f>COUNTIFS(_Classe,H3,_All2,"",_Esp2,"",_Sport,1,_Latin,"")</f>
        <v>0</v>
      </c>
      <c r="I16" s="38">
        <f t="shared" si="0"/>
        <v>0</v>
      </c>
      <c r="J16" s="39">
        <f t="shared" si="1"/>
        <v>0</v>
      </c>
      <c r="K16" s="40">
        <f>COUNTIFS(_All2,"",_Esp2,"",_Sport,1,_Latin,"")</f>
        <v>0</v>
      </c>
    </row>
    <row r="17" spans="1:11" hidden="1" outlineLevel="1" x14ac:dyDescent="0.25">
      <c r="A17" s="20" t="s">
        <v>16</v>
      </c>
      <c r="B17" s="31">
        <f>COUNTIFS(_Classe,B3,_All2,"",_Esp2,"",_Sport,"",_Latin,1)</f>
        <v>0</v>
      </c>
      <c r="C17" s="32"/>
      <c r="D17" s="33">
        <f>COUNTIFS(_Classe,D3,_All2,"",_Esp2,"",_Sport,"",_Latin,1)</f>
        <v>0</v>
      </c>
      <c r="E17" s="34"/>
      <c r="F17" s="35">
        <f>COUNTIFS(_Classe,F3,_All2,"",_Esp2,"",_Sport,"",_Latin,1)</f>
        <v>0</v>
      </c>
      <c r="G17" s="36"/>
      <c r="H17" s="37">
        <f>COUNTIFS(_Classe,H3,_All2,"",_Esp2,"",_Sport,"",_Latin,1)</f>
        <v>0</v>
      </c>
      <c r="I17" s="38">
        <f t="shared" si="0"/>
        <v>0</v>
      </c>
      <c r="J17" s="39">
        <f t="shared" si="1"/>
        <v>0</v>
      </c>
      <c r="K17" s="40">
        <f>COUNTIFS(_All2,"",_Esp2,"",_Sport,"",_Latin,1)</f>
        <v>0</v>
      </c>
    </row>
    <row r="18" spans="1:11" hidden="1" outlineLevel="1" x14ac:dyDescent="0.25">
      <c r="A18" s="51" t="s">
        <v>133</v>
      </c>
      <c r="B18" s="41">
        <f>COUNTIFS(_Classe,B3,_All2,"",_Esp2,"",_Sport,1,_Latin,1)</f>
        <v>0</v>
      </c>
      <c r="C18" s="42"/>
      <c r="D18" s="43">
        <f>COUNTIFS(_Classe,D3,_All2,"",_Esp2,"",_Sport,1,_Latin,1)</f>
        <v>0</v>
      </c>
      <c r="E18" s="44"/>
      <c r="F18" s="45">
        <f>COUNTIFS(_Classe,F3,_All2,"",_Esp2,"",_Sport,1,_Latin,1)</f>
        <v>0</v>
      </c>
      <c r="G18" s="46"/>
      <c r="H18" s="47">
        <f>COUNTIFS(_Classe,H3,_All2,"",_Esp2,"",_Sport,1,_Latin,1)</f>
        <v>0</v>
      </c>
      <c r="I18" s="48">
        <f t="shared" si="0"/>
        <v>0</v>
      </c>
      <c r="J18" s="49">
        <f t="shared" si="1"/>
        <v>0</v>
      </c>
      <c r="K18" s="50">
        <f>COUNTIFS(_All2,"",_Esp2,"",_Sport,1,_Latin,1)</f>
        <v>0</v>
      </c>
    </row>
    <row r="19" spans="1:11" ht="9.9499999999999993" customHeight="1" x14ac:dyDescent="0.25"/>
    <row r="20" spans="1:11" ht="15.75" x14ac:dyDescent="0.25">
      <c r="A20" s="52" t="s">
        <v>134</v>
      </c>
      <c r="B20" s="10">
        <f t="shared" ref="B20:K20" si="2">SUM(B4,B9,B14)</f>
        <v>27</v>
      </c>
      <c r="C20" s="11">
        <f t="shared" si="2"/>
        <v>27</v>
      </c>
      <c r="D20" s="12">
        <f t="shared" si="2"/>
        <v>28</v>
      </c>
      <c r="E20" s="13">
        <f t="shared" si="2"/>
        <v>28</v>
      </c>
      <c r="F20" s="14">
        <f t="shared" si="2"/>
        <v>27</v>
      </c>
      <c r="G20" s="15">
        <f t="shared" si="2"/>
        <v>27</v>
      </c>
      <c r="H20" s="16">
        <f t="shared" si="2"/>
        <v>0</v>
      </c>
      <c r="I20" s="17">
        <f t="shared" si="2"/>
        <v>82</v>
      </c>
      <c r="J20" s="18">
        <f t="shared" si="2"/>
        <v>82</v>
      </c>
      <c r="K20" s="19">
        <f t="shared" si="2"/>
        <v>82</v>
      </c>
    </row>
    <row r="21" spans="1:11" outlineLevel="1" x14ac:dyDescent="0.25">
      <c r="A21" s="20" t="s">
        <v>132</v>
      </c>
      <c r="B21" s="31">
        <f t="shared" ref="B21:K21" si="3">SUM(B5,B10,B15)</f>
        <v>17</v>
      </c>
      <c r="C21" s="53">
        <f t="shared" si="3"/>
        <v>17</v>
      </c>
      <c r="D21" s="33">
        <f t="shared" si="3"/>
        <v>26</v>
      </c>
      <c r="E21" s="54">
        <f t="shared" si="3"/>
        <v>26</v>
      </c>
      <c r="F21" s="35">
        <f t="shared" si="3"/>
        <v>17</v>
      </c>
      <c r="G21" s="55">
        <f t="shared" si="3"/>
        <v>17</v>
      </c>
      <c r="H21" s="37">
        <f t="shared" si="3"/>
        <v>0</v>
      </c>
      <c r="I21" s="38">
        <f t="shared" si="3"/>
        <v>60</v>
      </c>
      <c r="J21" s="39">
        <f t="shared" si="3"/>
        <v>60</v>
      </c>
      <c r="K21" s="40">
        <f t="shared" si="3"/>
        <v>60</v>
      </c>
    </row>
    <row r="22" spans="1:11" outlineLevel="1" x14ac:dyDescent="0.25">
      <c r="A22" s="20" t="s">
        <v>15</v>
      </c>
      <c r="B22" s="31">
        <f t="shared" ref="B22:K22" si="4">SUM(B6,B11,B16)</f>
        <v>4</v>
      </c>
      <c r="C22" s="53">
        <f t="shared" si="4"/>
        <v>4</v>
      </c>
      <c r="D22" s="33">
        <f t="shared" si="4"/>
        <v>0</v>
      </c>
      <c r="E22" s="54">
        <f t="shared" si="4"/>
        <v>0</v>
      </c>
      <c r="F22" s="35">
        <f t="shared" si="4"/>
        <v>10</v>
      </c>
      <c r="G22" s="55">
        <f t="shared" si="4"/>
        <v>10</v>
      </c>
      <c r="H22" s="37">
        <f t="shared" si="4"/>
        <v>0</v>
      </c>
      <c r="I22" s="38">
        <f t="shared" si="4"/>
        <v>14</v>
      </c>
      <c r="J22" s="39">
        <f t="shared" si="4"/>
        <v>14</v>
      </c>
      <c r="K22" s="40">
        <f t="shared" si="4"/>
        <v>14</v>
      </c>
    </row>
    <row r="23" spans="1:11" outlineLevel="1" x14ac:dyDescent="0.25">
      <c r="A23" s="20" t="s">
        <v>16</v>
      </c>
      <c r="B23" s="31">
        <f t="shared" ref="B23:K23" si="5">SUM(B7,B12,B17)</f>
        <v>3</v>
      </c>
      <c r="C23" s="53">
        <f t="shared" si="5"/>
        <v>3</v>
      </c>
      <c r="D23" s="33">
        <f t="shared" si="5"/>
        <v>2</v>
      </c>
      <c r="E23" s="54">
        <f t="shared" si="5"/>
        <v>2</v>
      </c>
      <c r="F23" s="35">
        <f t="shared" si="5"/>
        <v>0</v>
      </c>
      <c r="G23" s="55">
        <f t="shared" si="5"/>
        <v>0</v>
      </c>
      <c r="H23" s="37">
        <f t="shared" si="5"/>
        <v>0</v>
      </c>
      <c r="I23" s="38">
        <f t="shared" si="5"/>
        <v>5</v>
      </c>
      <c r="J23" s="39">
        <f t="shared" si="5"/>
        <v>5</v>
      </c>
      <c r="K23" s="40">
        <f t="shared" si="5"/>
        <v>5</v>
      </c>
    </row>
    <row r="24" spans="1:11" outlineLevel="1" x14ac:dyDescent="0.25">
      <c r="A24" s="51" t="s">
        <v>133</v>
      </c>
      <c r="B24" s="41">
        <f t="shared" ref="B24:K24" si="6">SUM(B8,B13,B18)</f>
        <v>3</v>
      </c>
      <c r="C24" s="56">
        <f t="shared" si="6"/>
        <v>3</v>
      </c>
      <c r="D24" s="43">
        <f t="shared" si="6"/>
        <v>0</v>
      </c>
      <c r="E24" s="57">
        <f t="shared" si="6"/>
        <v>0</v>
      </c>
      <c r="F24" s="45">
        <f t="shared" si="6"/>
        <v>0</v>
      </c>
      <c r="G24" s="58">
        <f t="shared" si="6"/>
        <v>0</v>
      </c>
      <c r="H24" s="47">
        <f t="shared" si="6"/>
        <v>0</v>
      </c>
      <c r="I24" s="48">
        <f t="shared" si="6"/>
        <v>3</v>
      </c>
      <c r="J24" s="49">
        <f t="shared" si="6"/>
        <v>3</v>
      </c>
      <c r="K24" s="50">
        <f t="shared" si="6"/>
        <v>3</v>
      </c>
    </row>
    <row r="25" spans="1:11" outlineLevel="1" x14ac:dyDescent="0.25">
      <c r="A25" s="59" t="s">
        <v>15</v>
      </c>
      <c r="B25" s="21">
        <f t="shared" ref="B25:K25" si="7">SUM(B22,B24)</f>
        <v>7</v>
      </c>
      <c r="C25" s="60">
        <f t="shared" si="7"/>
        <v>7</v>
      </c>
      <c r="D25" s="23">
        <f t="shared" si="7"/>
        <v>0</v>
      </c>
      <c r="E25" s="61">
        <f t="shared" si="7"/>
        <v>0</v>
      </c>
      <c r="F25" s="25">
        <f t="shared" si="7"/>
        <v>10</v>
      </c>
      <c r="G25" s="62">
        <f t="shared" si="7"/>
        <v>10</v>
      </c>
      <c r="H25" s="27">
        <f t="shared" si="7"/>
        <v>0</v>
      </c>
      <c r="I25" s="28">
        <f t="shared" si="7"/>
        <v>17</v>
      </c>
      <c r="J25" s="29">
        <f t="shared" si="7"/>
        <v>17</v>
      </c>
      <c r="K25" s="30">
        <f t="shared" si="7"/>
        <v>17</v>
      </c>
    </row>
    <row r="26" spans="1:11" outlineLevel="1" x14ac:dyDescent="0.25">
      <c r="A26" s="51" t="s">
        <v>16</v>
      </c>
      <c r="B26" s="41">
        <f t="shared" ref="B26:K26" si="8">SUM(B23,B24)</f>
        <v>6</v>
      </c>
      <c r="C26" s="56">
        <f t="shared" si="8"/>
        <v>6</v>
      </c>
      <c r="D26" s="43">
        <f t="shared" si="8"/>
        <v>2</v>
      </c>
      <c r="E26" s="57">
        <f t="shared" si="8"/>
        <v>2</v>
      </c>
      <c r="F26" s="45">
        <f t="shared" si="8"/>
        <v>0</v>
      </c>
      <c r="G26" s="58">
        <f t="shared" si="8"/>
        <v>0</v>
      </c>
      <c r="H26" s="47">
        <f t="shared" si="8"/>
        <v>0</v>
      </c>
      <c r="I26" s="48">
        <f t="shared" si="8"/>
        <v>8</v>
      </c>
      <c r="J26" s="49">
        <f t="shared" si="8"/>
        <v>8</v>
      </c>
      <c r="K26" s="50">
        <f t="shared" si="8"/>
        <v>8</v>
      </c>
    </row>
    <row r="28" spans="1:11" x14ac:dyDescent="0.25">
      <c r="B28" t="s">
        <v>135</v>
      </c>
    </row>
    <row r="29" spans="1:11" x14ac:dyDescent="0.25">
      <c r="B29" s="68" t="s">
        <v>136</v>
      </c>
      <c r="C29" s="128">
        <v>1</v>
      </c>
      <c r="E29" s="127">
        <v>3</v>
      </c>
    </row>
    <row r="30" spans="1:11" x14ac:dyDescent="0.25">
      <c r="B30" s="68" t="s">
        <v>18</v>
      </c>
      <c r="D30" s="126">
        <v>2</v>
      </c>
      <c r="E30" s="127">
        <v>3</v>
      </c>
    </row>
    <row r="31" spans="1:11" x14ac:dyDescent="0.25">
      <c r="B31" s="68" t="s">
        <v>15</v>
      </c>
      <c r="C31" s="128">
        <v>1</v>
      </c>
      <c r="E31" s="127">
        <v>3</v>
      </c>
    </row>
    <row r="32" spans="1:11" x14ac:dyDescent="0.25">
      <c r="B32" s="68" t="s">
        <v>137</v>
      </c>
      <c r="C32" s="128">
        <v>1</v>
      </c>
      <c r="D32" s="126">
        <v>2</v>
      </c>
    </row>
  </sheetData>
  <sheetProtection sheet="1" objects="1" scenarios="1" insertRows="0" deleteRows="0" sort="0" autoFilter="0"/>
  <mergeCells count="5">
    <mergeCell ref="A1:K1"/>
    <mergeCell ref="B3:C3"/>
    <mergeCell ref="D3:E3"/>
    <mergeCell ref="F3:G3"/>
    <mergeCell ref="I3:K3"/>
  </mergeCells>
  <conditionalFormatting sqref="B14:C14">
    <cfRule type="cellIs" dxfId="93" priority="8" operator="equal">
      <formula>0</formula>
    </cfRule>
  </conditionalFormatting>
  <conditionalFormatting sqref="B20:C20">
    <cfRule type="cellIs" dxfId="92" priority="9" operator="equal">
      <formula>0</formula>
    </cfRule>
  </conditionalFormatting>
  <conditionalFormatting sqref="B4:B26">
    <cfRule type="cellIs" dxfId="91" priority="1" operator="notEqual">
      <formula>C4</formula>
    </cfRule>
    <cfRule type="cellIs" dxfId="90" priority="10" operator="equal">
      <formula>0</formula>
    </cfRule>
  </conditionalFormatting>
  <conditionalFormatting sqref="B4:C4">
    <cfRule type="cellIs" dxfId="89" priority="6" operator="equal">
      <formula>0</formula>
    </cfRule>
  </conditionalFormatting>
  <conditionalFormatting sqref="B9:C9">
    <cfRule type="cellIs" dxfId="88" priority="7" operator="equal">
      <formula>0</formula>
    </cfRule>
  </conditionalFormatting>
  <conditionalFormatting sqref="C20:C26">
    <cfRule type="cellIs" dxfId="87" priority="11" operator="equal">
      <formula>0</formula>
    </cfRule>
  </conditionalFormatting>
  <conditionalFormatting sqref="D14:E14">
    <cfRule type="cellIs" dxfId="86" priority="14" operator="equal">
      <formula>0</formula>
    </cfRule>
  </conditionalFormatting>
  <conditionalFormatting sqref="D20:E20">
    <cfRule type="cellIs" dxfId="85" priority="15" operator="equal">
      <formula>0</formula>
    </cfRule>
  </conditionalFormatting>
  <conditionalFormatting sqref="D4:D26">
    <cfRule type="cellIs" dxfId="84" priority="2" operator="notEqual">
      <formula>E4</formula>
    </cfRule>
    <cfRule type="cellIs" dxfId="83" priority="16" operator="equal">
      <formula>0</formula>
    </cfRule>
  </conditionalFormatting>
  <conditionalFormatting sqref="D4:E4">
    <cfRule type="cellIs" dxfId="82" priority="12" operator="equal">
      <formula>0</formula>
    </cfRule>
  </conditionalFormatting>
  <conditionalFormatting sqref="D9:E9">
    <cfRule type="cellIs" dxfId="81" priority="13" operator="equal">
      <formula>0</formula>
    </cfRule>
  </conditionalFormatting>
  <conditionalFormatting sqref="E20:E26">
    <cfRule type="cellIs" dxfId="80" priority="17" operator="equal">
      <formula>0</formula>
    </cfRule>
  </conditionalFormatting>
  <conditionalFormatting sqref="F14:G14">
    <cfRule type="cellIs" dxfId="79" priority="20" operator="equal">
      <formula>0</formula>
    </cfRule>
  </conditionalFormatting>
  <conditionalFormatting sqref="F20:G20">
    <cfRule type="cellIs" dxfId="78" priority="21" operator="equal">
      <formula>0</formula>
    </cfRule>
  </conditionalFormatting>
  <conditionalFormatting sqref="F4:F26">
    <cfRule type="cellIs" dxfId="77" priority="3" operator="notEqual">
      <formula>G4</formula>
    </cfRule>
    <cfRule type="cellIs" dxfId="76" priority="22" operator="equal">
      <formula>0</formula>
    </cfRule>
  </conditionalFormatting>
  <conditionalFormatting sqref="F4:G4">
    <cfRule type="cellIs" dxfId="75" priority="18" operator="equal">
      <formula>0</formula>
    </cfRule>
  </conditionalFormatting>
  <conditionalFormatting sqref="F9:G9">
    <cfRule type="cellIs" dxfId="74" priority="19" operator="equal">
      <formula>0</formula>
    </cfRule>
  </conditionalFormatting>
  <conditionalFormatting sqref="G20:G26">
    <cfRule type="cellIs" dxfId="73" priority="23" operator="equal">
      <formula>0</formula>
    </cfRule>
  </conditionalFormatting>
  <conditionalFormatting sqref="H14">
    <cfRule type="cellIs" dxfId="72" priority="26" operator="equal">
      <formula>0</formula>
    </cfRule>
  </conditionalFormatting>
  <conditionalFormatting sqref="H20">
    <cfRule type="cellIs" dxfId="71" priority="27" operator="equal">
      <formula>0</formula>
    </cfRule>
  </conditionalFormatting>
  <conditionalFormatting sqref="H4">
    <cfRule type="cellIs" dxfId="70" priority="24" operator="equal">
      <formula>0</formula>
    </cfRule>
  </conditionalFormatting>
  <conditionalFormatting sqref="H4:H26">
    <cfRule type="cellIs" dxfId="69" priority="28" operator="equal">
      <formula>0</formula>
    </cfRule>
  </conditionalFormatting>
  <conditionalFormatting sqref="H9">
    <cfRule type="cellIs" dxfId="68" priority="25" operator="equal">
      <formula>0</formula>
    </cfRule>
  </conditionalFormatting>
  <conditionalFormatting sqref="I14:K14">
    <cfRule type="cellIs" dxfId="67" priority="31" operator="equal">
      <formula>0</formula>
    </cfRule>
  </conditionalFormatting>
  <conditionalFormatting sqref="I20:K20">
    <cfRule type="cellIs" dxfId="66" priority="32" operator="equal">
      <formula>0</formula>
    </cfRule>
  </conditionalFormatting>
  <conditionalFormatting sqref="I4:I26">
    <cfRule type="cellIs" dxfId="65" priority="4" operator="notEqual">
      <formula>J4</formula>
    </cfRule>
  </conditionalFormatting>
  <conditionalFormatting sqref="I4:K26">
    <cfRule type="cellIs" dxfId="64" priority="33" operator="equal">
      <formula>0</formula>
    </cfRule>
  </conditionalFormatting>
  <conditionalFormatting sqref="I4:K4">
    <cfRule type="cellIs" dxfId="63" priority="29" operator="equal">
      <formula>0</formula>
    </cfRule>
  </conditionalFormatting>
  <conditionalFormatting sqref="I9:K9">
    <cfRule type="cellIs" dxfId="62" priority="30" operator="equal">
      <formula>0</formula>
    </cfRule>
  </conditionalFormatting>
  <conditionalFormatting sqref="J4:J26">
    <cfRule type="cellIs" dxfId="61" priority="5" operator="notEqual">
      <formula>K4</formula>
    </cfRule>
  </conditionalFormatting>
  <printOptions horizontalCentered="1" verticalCentered="1"/>
  <pageMargins left="0.4" right="0.4" top="0.4" bottom="0.4" header="0" footer="0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/>
    <pageSetUpPr fitToPage="1"/>
  </sheetPr>
  <dimension ref="A1:N101"/>
  <sheetViews>
    <sheetView tabSelected="1" zoomScaleNormal="100" workbookViewId="0">
      <pane ySplit="18" topLeftCell="A19" activePane="bottomLeft" state="frozen"/>
      <selection pane="bottomLeft" activeCell="A19" sqref="A19"/>
    </sheetView>
  </sheetViews>
  <sheetFormatPr baseColWidth="10" defaultColWidth="9.140625" defaultRowHeight="15" outlineLevelRow="1" x14ac:dyDescent="0.25"/>
  <cols>
    <col min="1" max="1" width="20.7109375" customWidth="1"/>
    <col min="2" max="2" width="15.7109375" customWidth="1"/>
    <col min="3" max="11" width="6.7109375" customWidth="1"/>
    <col min="12" max="12" width="15.7109375" customWidth="1"/>
    <col min="13" max="13" width="6.7109375" customWidth="1"/>
    <col min="14" max="14" width="25.7109375" customWidth="1"/>
  </cols>
  <sheetData>
    <row r="1" spans="1:8" ht="21" x14ac:dyDescent="0.25">
      <c r="A1" s="1" t="s">
        <v>0</v>
      </c>
      <c r="B1" s="7" t="s">
        <v>4</v>
      </c>
      <c r="C1" s="63">
        <v>1</v>
      </c>
      <c r="D1" s="64">
        <v>2</v>
      </c>
      <c r="E1" s="65">
        <v>3</v>
      </c>
      <c r="F1" s="8" t="s">
        <v>20</v>
      </c>
      <c r="G1" s="66" t="s">
        <v>21</v>
      </c>
      <c r="H1" s="67" t="s">
        <v>22</v>
      </c>
    </row>
    <row r="2" spans="1:8" x14ac:dyDescent="0.25">
      <c r="A2" s="68" t="s">
        <v>1</v>
      </c>
      <c r="B2" s="69" t="s">
        <v>5</v>
      </c>
      <c r="C2" s="70">
        <f>COUNTIF(_Classe,C1)</f>
        <v>27</v>
      </c>
      <c r="D2" s="71">
        <f>COUNTIF(_Classe,D1)</f>
        <v>28</v>
      </c>
      <c r="E2" s="72">
        <f>COUNTIF(_Classe,E1)</f>
        <v>27</v>
      </c>
      <c r="F2" s="73">
        <f>COUNTIF(_Classe,"NA")</f>
        <v>0</v>
      </c>
      <c r="G2" s="74">
        <f>COUNTBLANK(_Classe)</f>
        <v>0</v>
      </c>
      <c r="H2" s="75">
        <f>SUM(C2:G2)</f>
        <v>82</v>
      </c>
    </row>
    <row r="3" spans="1:8" outlineLevel="1" x14ac:dyDescent="0.25">
      <c r="A3" s="68" t="s">
        <v>2</v>
      </c>
      <c r="B3" s="76" t="s">
        <v>6</v>
      </c>
      <c r="C3" s="77">
        <f>COUNTIFS(_Classe,C1,_Sexe,B3)</f>
        <v>14</v>
      </c>
      <c r="D3" s="78">
        <f>COUNTIFS(_Classe,D1,_Sexe,B3)</f>
        <v>15</v>
      </c>
      <c r="E3" s="79">
        <f>COUNTIFS(_Classe,E1,_Sexe,B3)</f>
        <v>14</v>
      </c>
      <c r="F3" s="80">
        <f>COUNTIFS(_Classe,"NA",_Sexe,B3)</f>
        <v>0</v>
      </c>
      <c r="G3" s="81">
        <f>COUNTIFS(_Classe,"",_Sexe,B3)</f>
        <v>0</v>
      </c>
      <c r="H3" s="82">
        <f>SUM(C3:G3)</f>
        <v>43</v>
      </c>
    </row>
    <row r="4" spans="1:8" outlineLevel="1" x14ac:dyDescent="0.25">
      <c r="A4" s="68" t="s">
        <v>3</v>
      </c>
      <c r="B4" s="83" t="s">
        <v>7</v>
      </c>
      <c r="C4" s="84">
        <f>COUNTIFS(_Classe,C1,_Sexe,B4)</f>
        <v>13</v>
      </c>
      <c r="D4" s="85">
        <f>COUNTIFS(_Classe,D1,_Sexe,B4)</f>
        <v>13</v>
      </c>
      <c r="E4" s="86">
        <f>COUNTIFS(_Classe,E1,_Sexe,B4)</f>
        <v>13</v>
      </c>
      <c r="F4" s="87">
        <f>COUNTIFS(_Classe,"NA",_Sexe,B4)</f>
        <v>0</v>
      </c>
      <c r="G4" s="88">
        <f>COUNTIFS(_Classe,"",_Sexe,B4)</f>
        <v>0</v>
      </c>
      <c r="H4" s="89">
        <f>SUM(C4:G4)</f>
        <v>39</v>
      </c>
    </row>
    <row r="5" spans="1:8" outlineLevel="1" x14ac:dyDescent="0.25">
      <c r="B5" s="90" t="s">
        <v>8</v>
      </c>
      <c r="C5" s="70">
        <f t="shared" ref="C5:H5" si="0">IF(C2&lt;&gt;0,ROUND(C3/C2*100,0),"*")</f>
        <v>52</v>
      </c>
      <c r="D5" s="71">
        <f t="shared" si="0"/>
        <v>54</v>
      </c>
      <c r="E5" s="72">
        <f t="shared" si="0"/>
        <v>52</v>
      </c>
      <c r="F5" s="73" t="str">
        <f t="shared" si="0"/>
        <v>*</v>
      </c>
      <c r="G5" s="74" t="str">
        <f t="shared" si="0"/>
        <v>*</v>
      </c>
      <c r="H5" s="75">
        <f t="shared" si="0"/>
        <v>52</v>
      </c>
    </row>
    <row r="6" spans="1:8" x14ac:dyDescent="0.25">
      <c r="B6" s="91" t="s">
        <v>9</v>
      </c>
      <c r="C6" s="77">
        <f>COUNTIFS(_Classe,C1,_Niveau,B6)</f>
        <v>6</v>
      </c>
      <c r="D6" s="78">
        <f>COUNTIFS(_Classe,D1,_Niveau,B6)</f>
        <v>9</v>
      </c>
      <c r="E6" s="79">
        <f>COUNTIFS(_Classe,E1,_Niveau,B6)</f>
        <v>9</v>
      </c>
      <c r="F6" s="80">
        <f>COUNTIFS(_Classe,"NA",_Niveau,B6)</f>
        <v>0</v>
      </c>
      <c r="G6" s="81">
        <f>COUNTIFS(_Classe,"",_Niveau,B6)</f>
        <v>0</v>
      </c>
      <c r="H6" s="82">
        <f t="shared" ref="H6:H16" si="1">SUM(C6:G6)</f>
        <v>24</v>
      </c>
    </row>
    <row r="7" spans="1:8" outlineLevel="1" x14ac:dyDescent="0.25">
      <c r="B7" s="92" t="s">
        <v>10</v>
      </c>
      <c r="C7" s="93">
        <f>COUNTIFS(_Classe,C1,_Niveau,B7)</f>
        <v>7</v>
      </c>
      <c r="D7" s="94">
        <f>COUNTIFS(_Classe,D1,_Niveau,B7)</f>
        <v>7</v>
      </c>
      <c r="E7" s="95">
        <f>COUNTIFS(_Classe,E1,_Niveau,B7)</f>
        <v>6</v>
      </c>
      <c r="F7" s="96">
        <f>COUNTIFS(_Classe,"NA",_Niveau,B7)</f>
        <v>0</v>
      </c>
      <c r="G7" s="97">
        <f>COUNTIFS(_Classe,"",_Niveau,B7)</f>
        <v>0</v>
      </c>
      <c r="H7" s="98">
        <f t="shared" si="1"/>
        <v>20</v>
      </c>
    </row>
    <row r="8" spans="1:8" outlineLevel="1" x14ac:dyDescent="0.25">
      <c r="B8" s="99" t="s">
        <v>11</v>
      </c>
      <c r="C8" s="93">
        <f>COUNTIFS(_Classe,C1,_Niveau,B8)</f>
        <v>6</v>
      </c>
      <c r="D8" s="94">
        <f>COUNTIFS(_Classe,D1,_Niveau,B8)</f>
        <v>7</v>
      </c>
      <c r="E8" s="95">
        <f>COUNTIFS(_Classe,E1,_Niveau,B8)</f>
        <v>6</v>
      </c>
      <c r="F8" s="96">
        <f>COUNTIFS(_Classe,"NA",_Niveau,B8)</f>
        <v>0</v>
      </c>
      <c r="G8" s="97">
        <f>COUNTIFS(_Classe,"",_Niveau,B8)</f>
        <v>0</v>
      </c>
      <c r="H8" s="98">
        <f t="shared" si="1"/>
        <v>19</v>
      </c>
    </row>
    <row r="9" spans="1:8" outlineLevel="1" x14ac:dyDescent="0.25">
      <c r="B9" s="100" t="s">
        <v>12</v>
      </c>
      <c r="C9" s="93">
        <f>COUNTIFS(_Classe,C1,_Niveau,B9)</f>
        <v>4</v>
      </c>
      <c r="D9" s="94">
        <f>COUNTIFS(_Classe,D1,_Niveau,B9)</f>
        <v>2</v>
      </c>
      <c r="E9" s="95">
        <f>COUNTIFS(_Classe,E1,_Niveau,B9)</f>
        <v>1</v>
      </c>
      <c r="F9" s="96">
        <f>COUNTIFS(_Classe,"NA",_Niveau,B9)</f>
        <v>0</v>
      </c>
      <c r="G9" s="97">
        <f>COUNTIFS(_Classe,"",_Niveau,B9)</f>
        <v>0</v>
      </c>
      <c r="H9" s="98">
        <f t="shared" si="1"/>
        <v>7</v>
      </c>
    </row>
    <row r="10" spans="1:8" outlineLevel="1" x14ac:dyDescent="0.25">
      <c r="B10" s="101" t="s">
        <v>13</v>
      </c>
      <c r="C10" s="84">
        <f>COUNTIFS(_Classe,C1,_Niveau,B10)</f>
        <v>4</v>
      </c>
      <c r="D10" s="85">
        <f>COUNTIFS(_Classe,D1,_Niveau,B10)</f>
        <v>3</v>
      </c>
      <c r="E10" s="86">
        <f>COUNTIFS(_Classe,E1,_Niveau,B10)</f>
        <v>5</v>
      </c>
      <c r="F10" s="87">
        <f>COUNTIFS(_Classe,"NA",_Niveau,B10)</f>
        <v>0</v>
      </c>
      <c r="G10" s="88">
        <f>COUNTIFS(_Classe,"",_Niveau,B10)</f>
        <v>0</v>
      </c>
      <c r="H10" s="89">
        <f t="shared" si="1"/>
        <v>12</v>
      </c>
    </row>
    <row r="11" spans="1:8" x14ac:dyDescent="0.25">
      <c r="B11" s="102" t="s">
        <v>14</v>
      </c>
      <c r="C11" s="103">
        <f>COUNTIFS(_Classe,C1,_Retard,"R")</f>
        <v>3</v>
      </c>
      <c r="D11" s="104">
        <f>COUNTIFS(_Classe,D1,_Retard,"R")</f>
        <v>5</v>
      </c>
      <c r="E11" s="105">
        <f>COUNTIFS(_Classe,E1,_Retard,"R")</f>
        <v>2</v>
      </c>
      <c r="F11" s="106">
        <f>COUNTIFS(_Classe,"NA",_Retard,"R")</f>
        <v>0</v>
      </c>
      <c r="G11" s="107">
        <f>COUNTIFS(_Classe,"",_Retard,"R")</f>
        <v>0</v>
      </c>
      <c r="H11" s="75">
        <f t="shared" si="1"/>
        <v>10</v>
      </c>
    </row>
    <row r="12" spans="1:8" outlineLevel="1" x14ac:dyDescent="0.25">
      <c r="B12" s="108" t="s">
        <v>15</v>
      </c>
      <c r="C12" s="77">
        <f>COUNTIFS(_Classe,C1,_Sport,1)</f>
        <v>7</v>
      </c>
      <c r="D12" s="78">
        <f>COUNTIFS(_Classe,D1,_Sport,1)</f>
        <v>0</v>
      </c>
      <c r="E12" s="79">
        <f>COUNTIFS(_Classe,E1,_Sport,1)</f>
        <v>10</v>
      </c>
      <c r="F12" s="80">
        <f>COUNTIFS(_Classe,"NA",_Sport,1)</f>
        <v>0</v>
      </c>
      <c r="G12" s="81">
        <f>COUNTIFS(_Classe,"",_Sport,1)</f>
        <v>0</v>
      </c>
      <c r="H12" s="82">
        <f t="shared" si="1"/>
        <v>17</v>
      </c>
    </row>
    <row r="13" spans="1:8" outlineLevel="1" x14ac:dyDescent="0.25">
      <c r="B13" s="109" t="s">
        <v>16</v>
      </c>
      <c r="C13" s="84">
        <f>COUNTIFS(_Classe,C1,_Latin,1)</f>
        <v>6</v>
      </c>
      <c r="D13" s="85">
        <f>COUNTIFS(_Classe,D1,_Latin,1)</f>
        <v>2</v>
      </c>
      <c r="E13" s="86">
        <f>COUNTIFS(_Classe,E1,_Latin,1)</f>
        <v>0</v>
      </c>
      <c r="F13" s="87">
        <f>COUNTIFS(_Classe,"NA",_Latin,1)</f>
        <v>0</v>
      </c>
      <c r="G13" s="88">
        <f>COUNTIFS(_Classe,"",_Latin,1)</f>
        <v>0</v>
      </c>
      <c r="H13" s="89">
        <f t="shared" si="1"/>
        <v>8</v>
      </c>
    </row>
    <row r="14" spans="1:8" x14ac:dyDescent="0.25">
      <c r="B14" s="110" t="s">
        <v>17</v>
      </c>
      <c r="C14" s="77">
        <f>COUNTIFS(_Classe,C1,_All2,1)</f>
        <v>27</v>
      </c>
      <c r="D14" s="78">
        <f>COUNTIFS(_Classe,D1,_All2,1)</f>
        <v>0</v>
      </c>
      <c r="E14" s="79">
        <f>COUNTIFS(_Classe,E1,_All2,1)</f>
        <v>17</v>
      </c>
      <c r="F14" s="80">
        <f>COUNTIFS(_Classe,"NA",_All2,1)</f>
        <v>0</v>
      </c>
      <c r="G14" s="81">
        <f>COUNTIFS(_Classe,"",_All2,1)</f>
        <v>0</v>
      </c>
      <c r="H14" s="82">
        <f t="shared" si="1"/>
        <v>44</v>
      </c>
    </row>
    <row r="15" spans="1:8" outlineLevel="1" x14ac:dyDescent="0.25">
      <c r="B15" s="111" t="s">
        <v>18</v>
      </c>
      <c r="C15" s="93">
        <f>COUNTIFS(_Classe,C1,_Esp2,1)</f>
        <v>0</v>
      </c>
      <c r="D15" s="94">
        <f>COUNTIFS(_Classe,D1,_Esp2,1)</f>
        <v>28</v>
      </c>
      <c r="E15" s="95">
        <f>COUNTIFS(_Classe,E1,_Esp2,1)</f>
        <v>10</v>
      </c>
      <c r="F15" s="96">
        <f>COUNTIFS(_Classe,"NA",_Esp2,1)</f>
        <v>0</v>
      </c>
      <c r="G15" s="97">
        <f>COUNTIFS(_Classe,"",_Esp2,1)</f>
        <v>0</v>
      </c>
      <c r="H15" s="89">
        <f t="shared" si="1"/>
        <v>38</v>
      </c>
    </row>
    <row r="16" spans="1:8" outlineLevel="1" x14ac:dyDescent="0.25">
      <c r="B16" s="112" t="s">
        <v>19</v>
      </c>
      <c r="C16" s="103">
        <f>COUNTIFS(_Classe,C1,_All2,"",_Esp2,"")</f>
        <v>0</v>
      </c>
      <c r="D16" s="104">
        <f>COUNTIFS(_Classe,D1,_All2,"",_Esp2,"")</f>
        <v>0</v>
      </c>
      <c r="E16" s="105">
        <f>COUNTIFS(_Classe,E1,_All2,"",_Esp2,"")</f>
        <v>0</v>
      </c>
      <c r="F16" s="106">
        <f>COUNTIFS(_Classe,"NA",_All2,"",_Esp2,"")</f>
        <v>0</v>
      </c>
      <c r="G16" s="107">
        <f>COUNTIFS(_Classe,"",_All2,"",_Esp2,"")</f>
        <v>0</v>
      </c>
      <c r="H16" s="75">
        <f t="shared" si="1"/>
        <v>0</v>
      </c>
    </row>
    <row r="17" spans="1:14" ht="5.0999999999999996" customHeight="1" x14ac:dyDescent="0.25">
      <c r="B17" s="113"/>
      <c r="C17" s="113"/>
      <c r="D17" s="113"/>
      <c r="E17" s="113"/>
      <c r="F17" s="113"/>
      <c r="G17" s="113"/>
      <c r="H17" s="113"/>
    </row>
    <row r="18" spans="1:14" s="114" customFormat="1" ht="20.100000000000001" customHeight="1" x14ac:dyDescent="0.25">
      <c r="A18" s="115" t="s">
        <v>23</v>
      </c>
      <c r="B18" s="116" t="s">
        <v>24</v>
      </c>
      <c r="C18" s="116" t="s">
        <v>25</v>
      </c>
      <c r="D18" s="116" t="s">
        <v>26</v>
      </c>
      <c r="E18" s="116" t="s">
        <v>27</v>
      </c>
      <c r="F18" s="116" t="s">
        <v>28</v>
      </c>
      <c r="G18" s="117" t="s">
        <v>4</v>
      </c>
      <c r="H18" s="116" t="s">
        <v>29</v>
      </c>
      <c r="I18" s="118" t="s">
        <v>17</v>
      </c>
      <c r="J18" s="118" t="s">
        <v>18</v>
      </c>
      <c r="K18" s="119" t="s">
        <v>15</v>
      </c>
      <c r="L18" s="119" t="s">
        <v>30</v>
      </c>
      <c r="M18" s="120" t="s">
        <v>16</v>
      </c>
      <c r="N18" s="121" t="s">
        <v>31</v>
      </c>
    </row>
    <row r="19" spans="1:14" s="114" customFormat="1" x14ac:dyDescent="0.25">
      <c r="A19" s="122" t="s">
        <v>117</v>
      </c>
      <c r="B19" s="123" t="s">
        <v>39</v>
      </c>
      <c r="C19" s="124" t="s">
        <v>7</v>
      </c>
      <c r="D19" s="124"/>
      <c r="E19" s="124" t="s">
        <v>10</v>
      </c>
      <c r="F19" s="124" t="s">
        <v>12</v>
      </c>
      <c r="G19" s="124">
        <v>1</v>
      </c>
      <c r="H19" s="124" t="s">
        <v>53</v>
      </c>
      <c r="I19" s="124">
        <v>1</v>
      </c>
      <c r="J19" s="124"/>
      <c r="K19" s="124"/>
      <c r="L19" s="124"/>
      <c r="M19" s="124"/>
      <c r="N19" s="125"/>
    </row>
    <row r="20" spans="1:14" s="114" customFormat="1" x14ac:dyDescent="0.25">
      <c r="A20" s="122" t="s">
        <v>82</v>
      </c>
      <c r="B20" s="123" t="s">
        <v>79</v>
      </c>
      <c r="C20" s="124" t="s">
        <v>7</v>
      </c>
      <c r="D20" s="124"/>
      <c r="E20" s="124" t="s">
        <v>9</v>
      </c>
      <c r="F20" s="124" t="s">
        <v>11</v>
      </c>
      <c r="G20" s="124">
        <v>1</v>
      </c>
      <c r="H20" s="124" t="s">
        <v>53</v>
      </c>
      <c r="I20" s="124">
        <v>1</v>
      </c>
      <c r="J20" s="124"/>
      <c r="K20" s="124">
        <v>1</v>
      </c>
      <c r="L20" s="124" t="s">
        <v>87</v>
      </c>
      <c r="M20" s="124"/>
      <c r="N20" s="125"/>
    </row>
    <row r="21" spans="1:14" s="114" customFormat="1" x14ac:dyDescent="0.25">
      <c r="A21" s="122" t="s">
        <v>124</v>
      </c>
      <c r="B21" s="123" t="s">
        <v>39</v>
      </c>
      <c r="C21" s="124" t="s">
        <v>7</v>
      </c>
      <c r="D21" s="124"/>
      <c r="E21" s="124" t="s">
        <v>9</v>
      </c>
      <c r="F21" s="124" t="s">
        <v>10</v>
      </c>
      <c r="G21" s="124">
        <v>1</v>
      </c>
      <c r="H21" s="124" t="s">
        <v>40</v>
      </c>
      <c r="I21" s="124">
        <v>1</v>
      </c>
      <c r="J21" s="124"/>
      <c r="K21" s="124"/>
      <c r="L21" s="124"/>
      <c r="M21" s="124"/>
      <c r="N21" s="125" t="s">
        <v>81</v>
      </c>
    </row>
    <row r="22" spans="1:14" s="114" customFormat="1" x14ac:dyDescent="0.25">
      <c r="A22" s="122" t="s">
        <v>41</v>
      </c>
      <c r="B22" s="123" t="s">
        <v>42</v>
      </c>
      <c r="C22" s="124" t="s">
        <v>6</v>
      </c>
      <c r="D22" s="124"/>
      <c r="E22" s="124" t="s">
        <v>9</v>
      </c>
      <c r="F22" s="124" t="s">
        <v>9</v>
      </c>
      <c r="G22" s="124">
        <v>1</v>
      </c>
      <c r="H22" s="124" t="s">
        <v>34</v>
      </c>
      <c r="I22" s="124">
        <v>1</v>
      </c>
      <c r="J22" s="124"/>
      <c r="K22" s="124"/>
      <c r="L22" s="124"/>
      <c r="M22" s="124">
        <v>1</v>
      </c>
      <c r="N22" s="125" t="s">
        <v>43</v>
      </c>
    </row>
    <row r="23" spans="1:14" s="114" customFormat="1" x14ac:dyDescent="0.25">
      <c r="A23" s="122" t="s">
        <v>41</v>
      </c>
      <c r="B23" s="123" t="s">
        <v>88</v>
      </c>
      <c r="C23" s="124" t="s">
        <v>6</v>
      </c>
      <c r="D23" s="124"/>
      <c r="E23" s="124" t="s">
        <v>9</v>
      </c>
      <c r="F23" s="124" t="s">
        <v>9</v>
      </c>
      <c r="G23" s="124">
        <v>1</v>
      </c>
      <c r="H23" s="124" t="s">
        <v>60</v>
      </c>
      <c r="I23" s="124">
        <v>1</v>
      </c>
      <c r="J23" s="124"/>
      <c r="K23" s="124"/>
      <c r="L23" s="124"/>
      <c r="M23" s="124"/>
      <c r="N23" s="125"/>
    </row>
    <row r="24" spans="1:14" s="114" customFormat="1" x14ac:dyDescent="0.25">
      <c r="A24" s="122" t="s">
        <v>32</v>
      </c>
      <c r="B24" s="123" t="s">
        <v>61</v>
      </c>
      <c r="C24" s="124" t="s">
        <v>6</v>
      </c>
      <c r="D24" s="124"/>
      <c r="E24" s="124" t="s">
        <v>12</v>
      </c>
      <c r="F24" s="124" t="s">
        <v>10</v>
      </c>
      <c r="G24" s="124">
        <v>1</v>
      </c>
      <c r="H24" s="124" t="s">
        <v>40</v>
      </c>
      <c r="I24" s="124">
        <v>1</v>
      </c>
      <c r="J24" s="124"/>
      <c r="K24" s="124">
        <v>1</v>
      </c>
      <c r="L24" s="124" t="s">
        <v>62</v>
      </c>
      <c r="M24" s="124">
        <v>1</v>
      </c>
      <c r="N24" s="125" t="s">
        <v>54</v>
      </c>
    </row>
    <row r="25" spans="1:14" s="114" customFormat="1" x14ac:dyDescent="0.25">
      <c r="A25" s="122" t="s">
        <v>75</v>
      </c>
      <c r="B25" s="123" t="s">
        <v>86</v>
      </c>
      <c r="C25" s="124" t="s">
        <v>6</v>
      </c>
      <c r="D25" s="124"/>
      <c r="E25" s="124" t="s">
        <v>13</v>
      </c>
      <c r="F25" s="124" t="s">
        <v>9</v>
      </c>
      <c r="G25" s="124">
        <v>1</v>
      </c>
      <c r="H25" s="124" t="s">
        <v>37</v>
      </c>
      <c r="I25" s="124">
        <v>1</v>
      </c>
      <c r="J25" s="124"/>
      <c r="K25" s="124"/>
      <c r="L25" s="124"/>
      <c r="M25" s="124"/>
      <c r="N25" s="125" t="s">
        <v>47</v>
      </c>
    </row>
    <row r="26" spans="1:14" s="114" customFormat="1" x14ac:dyDescent="0.25">
      <c r="A26" s="122" t="s">
        <v>109</v>
      </c>
      <c r="B26" s="123" t="s">
        <v>104</v>
      </c>
      <c r="C26" s="124" t="s">
        <v>7</v>
      </c>
      <c r="D26" s="124" t="s">
        <v>14</v>
      </c>
      <c r="E26" s="124" t="s">
        <v>11</v>
      </c>
      <c r="F26" s="124" t="s">
        <v>12</v>
      </c>
      <c r="G26" s="124">
        <v>1</v>
      </c>
      <c r="H26" s="124" t="s">
        <v>40</v>
      </c>
      <c r="I26" s="124">
        <v>1</v>
      </c>
      <c r="J26" s="124"/>
      <c r="K26" s="124"/>
      <c r="L26" s="124"/>
      <c r="M26" s="124"/>
      <c r="N26" s="125" t="s">
        <v>76</v>
      </c>
    </row>
    <row r="27" spans="1:14" s="114" customFormat="1" x14ac:dyDescent="0.25">
      <c r="A27" s="122" t="s">
        <v>107</v>
      </c>
      <c r="B27" s="123" t="s">
        <v>108</v>
      </c>
      <c r="C27" s="124" t="s">
        <v>7</v>
      </c>
      <c r="D27" s="124" t="s">
        <v>14</v>
      </c>
      <c r="E27" s="124" t="s">
        <v>12</v>
      </c>
      <c r="F27" s="124" t="s">
        <v>9</v>
      </c>
      <c r="G27" s="124">
        <v>1</v>
      </c>
      <c r="H27" s="124" t="s">
        <v>50</v>
      </c>
      <c r="I27" s="124">
        <v>1</v>
      </c>
      <c r="J27" s="124"/>
      <c r="K27" s="124"/>
      <c r="L27" s="124"/>
      <c r="M27" s="124"/>
      <c r="N27" s="125" t="s">
        <v>43</v>
      </c>
    </row>
    <row r="28" spans="1:14" s="114" customFormat="1" x14ac:dyDescent="0.25">
      <c r="A28" s="122" t="s">
        <v>99</v>
      </c>
      <c r="B28" s="123" t="s">
        <v>56</v>
      </c>
      <c r="C28" s="124" t="s">
        <v>7</v>
      </c>
      <c r="D28" s="124"/>
      <c r="E28" s="124" t="s">
        <v>10</v>
      </c>
      <c r="F28" s="124" t="s">
        <v>9</v>
      </c>
      <c r="G28" s="124">
        <v>1</v>
      </c>
      <c r="H28" s="124" t="s">
        <v>53</v>
      </c>
      <c r="I28" s="124">
        <v>1</v>
      </c>
      <c r="J28" s="124"/>
      <c r="K28" s="124"/>
      <c r="L28" s="124"/>
      <c r="M28" s="124">
        <v>1</v>
      </c>
      <c r="N28" s="125"/>
    </row>
    <row r="29" spans="1:14" s="114" customFormat="1" x14ac:dyDescent="0.25">
      <c r="A29" s="122" t="s">
        <v>55</v>
      </c>
      <c r="B29" s="123" t="s">
        <v>56</v>
      </c>
      <c r="C29" s="124" t="s">
        <v>7</v>
      </c>
      <c r="D29" s="124"/>
      <c r="E29" s="124" t="s">
        <v>11</v>
      </c>
      <c r="F29" s="124" t="s">
        <v>12</v>
      </c>
      <c r="G29" s="124">
        <v>1</v>
      </c>
      <c r="H29" s="124" t="s">
        <v>37</v>
      </c>
      <c r="I29" s="124">
        <v>1</v>
      </c>
      <c r="J29" s="124"/>
      <c r="K29" s="124">
        <v>1</v>
      </c>
      <c r="L29" s="124" t="s">
        <v>57</v>
      </c>
      <c r="M29" s="124"/>
      <c r="N29" s="125" t="s">
        <v>58</v>
      </c>
    </row>
    <row r="30" spans="1:14" s="114" customFormat="1" x14ac:dyDescent="0.25">
      <c r="A30" s="122" t="s">
        <v>63</v>
      </c>
      <c r="B30" s="123" t="s">
        <v>78</v>
      </c>
      <c r="C30" s="124" t="s">
        <v>7</v>
      </c>
      <c r="D30" s="124"/>
      <c r="E30" s="124" t="s">
        <v>10</v>
      </c>
      <c r="F30" s="124" t="s">
        <v>9</v>
      </c>
      <c r="G30" s="124">
        <v>1</v>
      </c>
      <c r="H30" s="124" t="s">
        <v>53</v>
      </c>
      <c r="I30" s="124">
        <v>1</v>
      </c>
      <c r="J30" s="124"/>
      <c r="K30" s="124"/>
      <c r="L30" s="124"/>
      <c r="M30" s="124"/>
      <c r="N30" s="125" t="s">
        <v>66</v>
      </c>
    </row>
    <row r="31" spans="1:14" s="114" customFormat="1" x14ac:dyDescent="0.25">
      <c r="A31" s="122" t="s">
        <v>83</v>
      </c>
      <c r="B31" s="123" t="s">
        <v>64</v>
      </c>
      <c r="C31" s="124" t="s">
        <v>6</v>
      </c>
      <c r="D31" s="124"/>
      <c r="E31" s="124" t="s">
        <v>12</v>
      </c>
      <c r="F31" s="124" t="s">
        <v>12</v>
      </c>
      <c r="G31" s="124">
        <v>1</v>
      </c>
      <c r="H31" s="124" t="s">
        <v>65</v>
      </c>
      <c r="I31" s="124">
        <v>1</v>
      </c>
      <c r="J31" s="124"/>
      <c r="K31" s="124"/>
      <c r="L31" s="124"/>
      <c r="M31" s="124"/>
      <c r="N31" s="125" t="s">
        <v>69</v>
      </c>
    </row>
    <row r="32" spans="1:14" s="114" customFormat="1" x14ac:dyDescent="0.25">
      <c r="A32" s="122" t="s">
        <v>70</v>
      </c>
      <c r="B32" s="123" t="s">
        <v>80</v>
      </c>
      <c r="C32" s="124" t="s">
        <v>7</v>
      </c>
      <c r="D32" s="124"/>
      <c r="E32" s="124" t="s">
        <v>9</v>
      </c>
      <c r="F32" s="124" t="s">
        <v>9</v>
      </c>
      <c r="G32" s="124">
        <v>1</v>
      </c>
      <c r="H32" s="124" t="s">
        <v>40</v>
      </c>
      <c r="I32" s="124">
        <v>1</v>
      </c>
      <c r="J32" s="124"/>
      <c r="K32" s="124">
        <v>1</v>
      </c>
      <c r="L32" s="124" t="s">
        <v>62</v>
      </c>
      <c r="M32" s="124"/>
      <c r="N32" s="125" t="s">
        <v>81</v>
      </c>
    </row>
    <row r="33" spans="1:14" s="114" customFormat="1" x14ac:dyDescent="0.25">
      <c r="A33" s="122" t="s">
        <v>70</v>
      </c>
      <c r="B33" s="123" t="s">
        <v>36</v>
      </c>
      <c r="C33" s="124" t="s">
        <v>6</v>
      </c>
      <c r="D33" s="124"/>
      <c r="E33" s="124" t="s">
        <v>13</v>
      </c>
      <c r="F33" s="124" t="s">
        <v>9</v>
      </c>
      <c r="G33" s="124">
        <v>1</v>
      </c>
      <c r="H33" s="124" t="s">
        <v>65</v>
      </c>
      <c r="I33" s="124">
        <v>1</v>
      </c>
      <c r="J33" s="124"/>
      <c r="K33" s="124"/>
      <c r="L33" s="124"/>
      <c r="M33" s="124"/>
      <c r="N33" s="125" t="s">
        <v>69</v>
      </c>
    </row>
    <row r="34" spans="1:14" s="114" customFormat="1" x14ac:dyDescent="0.25">
      <c r="A34" s="122" t="s">
        <v>111</v>
      </c>
      <c r="B34" s="123" t="s">
        <v>91</v>
      </c>
      <c r="C34" s="124" t="s">
        <v>6</v>
      </c>
      <c r="D34" s="124"/>
      <c r="E34" s="124" t="s">
        <v>10</v>
      </c>
      <c r="F34" s="124" t="s">
        <v>11</v>
      </c>
      <c r="G34" s="124">
        <v>1</v>
      </c>
      <c r="H34" s="124" t="s">
        <v>40</v>
      </c>
      <c r="I34" s="124">
        <v>1</v>
      </c>
      <c r="J34" s="124"/>
      <c r="K34" s="124">
        <v>1</v>
      </c>
      <c r="L34" s="124" t="s">
        <v>62</v>
      </c>
      <c r="M34" s="124"/>
      <c r="N34" s="125"/>
    </row>
    <row r="35" spans="1:14" s="114" customFormat="1" x14ac:dyDescent="0.25">
      <c r="A35" s="122" t="s">
        <v>67</v>
      </c>
      <c r="B35" s="123" t="s">
        <v>106</v>
      </c>
      <c r="C35" s="124" t="s">
        <v>6</v>
      </c>
      <c r="D35" s="124"/>
      <c r="E35" s="124" t="s">
        <v>12</v>
      </c>
      <c r="F35" s="124" t="s">
        <v>10</v>
      </c>
      <c r="G35" s="124">
        <v>1</v>
      </c>
      <c r="H35" s="124" t="s">
        <v>53</v>
      </c>
      <c r="I35" s="124">
        <v>1</v>
      </c>
      <c r="J35" s="124"/>
      <c r="K35" s="124"/>
      <c r="L35" s="124"/>
      <c r="M35" s="124"/>
      <c r="N35" s="125" t="s">
        <v>58</v>
      </c>
    </row>
    <row r="36" spans="1:14" s="114" customFormat="1" x14ac:dyDescent="0.25">
      <c r="A36" s="122" t="s">
        <v>67</v>
      </c>
      <c r="B36" s="123" t="s">
        <v>56</v>
      </c>
      <c r="C36" s="124" t="s">
        <v>7</v>
      </c>
      <c r="D36" s="124"/>
      <c r="E36" s="124" t="s">
        <v>10</v>
      </c>
      <c r="F36" s="124" t="s">
        <v>9</v>
      </c>
      <c r="G36" s="124">
        <v>1</v>
      </c>
      <c r="H36" s="124" t="s">
        <v>72</v>
      </c>
      <c r="I36" s="124">
        <v>1</v>
      </c>
      <c r="J36" s="124"/>
      <c r="K36" s="124"/>
      <c r="L36" s="124"/>
      <c r="M36" s="124">
        <v>1</v>
      </c>
      <c r="N36" s="125" t="s">
        <v>43</v>
      </c>
    </row>
    <row r="37" spans="1:14" s="114" customFormat="1" x14ac:dyDescent="0.25">
      <c r="A37" s="122" t="s">
        <v>89</v>
      </c>
      <c r="B37" s="123" t="s">
        <v>74</v>
      </c>
      <c r="C37" s="124" t="s">
        <v>7</v>
      </c>
      <c r="D37" s="124"/>
      <c r="E37" s="124" t="s">
        <v>10</v>
      </c>
      <c r="F37" s="124" t="s">
        <v>10</v>
      </c>
      <c r="G37" s="124">
        <v>1</v>
      </c>
      <c r="H37" s="124" t="s">
        <v>37</v>
      </c>
      <c r="I37" s="124">
        <v>1</v>
      </c>
      <c r="J37" s="124"/>
      <c r="K37" s="124">
        <v>1</v>
      </c>
      <c r="L37" s="124" t="s">
        <v>87</v>
      </c>
      <c r="M37" s="124">
        <v>1</v>
      </c>
      <c r="N37" s="125"/>
    </row>
    <row r="38" spans="1:14" s="114" customFormat="1" x14ac:dyDescent="0.25">
      <c r="A38" s="122" t="s">
        <v>125</v>
      </c>
      <c r="B38" s="123" t="s">
        <v>97</v>
      </c>
      <c r="C38" s="124" t="s">
        <v>7</v>
      </c>
      <c r="D38" s="124"/>
      <c r="E38" s="124" t="s">
        <v>11</v>
      </c>
      <c r="F38" s="124" t="s">
        <v>9</v>
      </c>
      <c r="G38" s="124">
        <v>1</v>
      </c>
      <c r="H38" s="124" t="s">
        <v>53</v>
      </c>
      <c r="I38" s="124">
        <v>1</v>
      </c>
      <c r="J38" s="124"/>
      <c r="K38" s="124"/>
      <c r="L38" s="124"/>
      <c r="M38" s="124"/>
      <c r="N38" s="125"/>
    </row>
    <row r="39" spans="1:14" s="114" customFormat="1" x14ac:dyDescent="0.25">
      <c r="A39" s="122" t="s">
        <v>114</v>
      </c>
      <c r="B39" s="123" t="s">
        <v>120</v>
      </c>
      <c r="C39" s="124" t="s">
        <v>6</v>
      </c>
      <c r="D39" s="124"/>
      <c r="E39" s="124" t="s">
        <v>10</v>
      </c>
      <c r="F39" s="124" t="s">
        <v>11</v>
      </c>
      <c r="G39" s="124">
        <v>1</v>
      </c>
      <c r="H39" s="124" t="s">
        <v>72</v>
      </c>
      <c r="I39" s="124">
        <v>1</v>
      </c>
      <c r="J39" s="124"/>
      <c r="K39" s="124"/>
      <c r="L39" s="124"/>
      <c r="M39" s="124"/>
      <c r="N39" s="125"/>
    </row>
    <row r="40" spans="1:14" s="114" customFormat="1" x14ac:dyDescent="0.25">
      <c r="A40" s="122" t="s">
        <v>114</v>
      </c>
      <c r="B40" s="123" t="s">
        <v>115</v>
      </c>
      <c r="C40" s="124" t="s">
        <v>7</v>
      </c>
      <c r="D40" s="124" t="s">
        <v>14</v>
      </c>
      <c r="E40" s="124" t="s">
        <v>11</v>
      </c>
      <c r="F40" s="124" t="s">
        <v>12</v>
      </c>
      <c r="G40" s="124">
        <v>1</v>
      </c>
      <c r="H40" s="124" t="s">
        <v>46</v>
      </c>
      <c r="I40" s="124">
        <v>1</v>
      </c>
      <c r="J40" s="124"/>
      <c r="K40" s="124"/>
      <c r="L40" s="124"/>
      <c r="M40" s="124"/>
      <c r="N40" s="125" t="s">
        <v>76</v>
      </c>
    </row>
    <row r="41" spans="1:14" s="114" customFormat="1" x14ac:dyDescent="0.25">
      <c r="A41" s="122" t="s">
        <v>116</v>
      </c>
      <c r="B41" s="123" t="s">
        <v>88</v>
      </c>
      <c r="C41" s="124" t="s">
        <v>6</v>
      </c>
      <c r="D41" s="124"/>
      <c r="E41" s="124" t="s">
        <v>13</v>
      </c>
      <c r="F41" s="124" t="s">
        <v>10</v>
      </c>
      <c r="G41" s="124">
        <v>1</v>
      </c>
      <c r="H41" s="124" t="s">
        <v>50</v>
      </c>
      <c r="I41" s="124">
        <v>1</v>
      </c>
      <c r="J41" s="124"/>
      <c r="K41" s="124"/>
      <c r="L41" s="124"/>
      <c r="M41" s="124"/>
      <c r="N41" s="125" t="s">
        <v>54</v>
      </c>
    </row>
    <row r="42" spans="1:14" s="114" customFormat="1" x14ac:dyDescent="0.25">
      <c r="A42" s="122" t="s">
        <v>35</v>
      </c>
      <c r="B42" s="123" t="s">
        <v>42</v>
      </c>
      <c r="C42" s="124" t="s">
        <v>6</v>
      </c>
      <c r="D42" s="124"/>
      <c r="E42" s="124" t="s">
        <v>13</v>
      </c>
      <c r="F42" s="124" t="s">
        <v>10</v>
      </c>
      <c r="G42" s="124">
        <v>1</v>
      </c>
      <c r="H42" s="124" t="s">
        <v>60</v>
      </c>
      <c r="I42" s="124">
        <v>1</v>
      </c>
      <c r="J42" s="124"/>
      <c r="K42" s="124"/>
      <c r="L42" s="124"/>
      <c r="M42" s="124"/>
      <c r="N42" s="125" t="s">
        <v>76</v>
      </c>
    </row>
    <row r="43" spans="1:14" s="114" customFormat="1" x14ac:dyDescent="0.25">
      <c r="A43" s="122" t="s">
        <v>59</v>
      </c>
      <c r="B43" s="123" t="s">
        <v>98</v>
      </c>
      <c r="C43" s="124" t="s">
        <v>6</v>
      </c>
      <c r="D43" s="124"/>
      <c r="E43" s="124" t="s">
        <v>11</v>
      </c>
      <c r="F43" s="124" t="s">
        <v>10</v>
      </c>
      <c r="G43" s="124">
        <v>1</v>
      </c>
      <c r="H43" s="124" t="s">
        <v>65</v>
      </c>
      <c r="I43" s="124">
        <v>1</v>
      </c>
      <c r="J43" s="124"/>
      <c r="K43" s="124"/>
      <c r="L43" s="124"/>
      <c r="M43" s="124"/>
      <c r="N43" s="125"/>
    </row>
    <row r="44" spans="1:14" s="114" customFormat="1" x14ac:dyDescent="0.25">
      <c r="A44" s="122" t="s">
        <v>122</v>
      </c>
      <c r="B44" s="123" t="s">
        <v>71</v>
      </c>
      <c r="C44" s="124" t="s">
        <v>6</v>
      </c>
      <c r="D44" s="124"/>
      <c r="E44" s="124" t="s">
        <v>11</v>
      </c>
      <c r="F44" s="124" t="s">
        <v>10</v>
      </c>
      <c r="G44" s="124">
        <v>1</v>
      </c>
      <c r="H44" s="124" t="s">
        <v>46</v>
      </c>
      <c r="I44" s="124">
        <v>1</v>
      </c>
      <c r="J44" s="124"/>
      <c r="K44" s="124">
        <v>1</v>
      </c>
      <c r="L44" s="124" t="s">
        <v>87</v>
      </c>
      <c r="M44" s="124">
        <v>1</v>
      </c>
      <c r="N44" s="125" t="s">
        <v>69</v>
      </c>
    </row>
    <row r="45" spans="1:14" s="114" customFormat="1" x14ac:dyDescent="0.25">
      <c r="A45" s="122" t="s">
        <v>122</v>
      </c>
      <c r="B45" s="123" t="s">
        <v>94</v>
      </c>
      <c r="C45" s="124" t="s">
        <v>6</v>
      </c>
      <c r="D45" s="124"/>
      <c r="E45" s="124" t="s">
        <v>9</v>
      </c>
      <c r="F45" s="124" t="s">
        <v>9</v>
      </c>
      <c r="G45" s="124">
        <v>1</v>
      </c>
      <c r="H45" s="124" t="s">
        <v>65</v>
      </c>
      <c r="I45" s="124">
        <v>1</v>
      </c>
      <c r="J45" s="124"/>
      <c r="K45" s="124"/>
      <c r="L45" s="124"/>
      <c r="M45" s="124"/>
      <c r="N45" s="125"/>
    </row>
    <row r="46" spans="1:14" s="114" customFormat="1" x14ac:dyDescent="0.25">
      <c r="A46" s="122" t="s">
        <v>41</v>
      </c>
      <c r="B46" s="123" t="s">
        <v>88</v>
      </c>
      <c r="C46" s="124" t="s">
        <v>6</v>
      </c>
      <c r="D46" s="124"/>
      <c r="E46" s="124" t="s">
        <v>13</v>
      </c>
      <c r="F46" s="124" t="s">
        <v>10</v>
      </c>
      <c r="G46" s="124">
        <v>2</v>
      </c>
      <c r="H46" s="124" t="s">
        <v>65</v>
      </c>
      <c r="I46" s="124"/>
      <c r="J46" s="124">
        <v>1</v>
      </c>
      <c r="K46" s="124"/>
      <c r="L46" s="124"/>
      <c r="M46" s="124"/>
      <c r="N46" s="125" t="s">
        <v>58</v>
      </c>
    </row>
    <row r="47" spans="1:14" s="114" customFormat="1" x14ac:dyDescent="0.25">
      <c r="A47" s="122" t="s">
        <v>41</v>
      </c>
      <c r="B47" s="123" t="s">
        <v>101</v>
      </c>
      <c r="C47" s="124" t="s">
        <v>6</v>
      </c>
      <c r="D47" s="124"/>
      <c r="E47" s="124" t="s">
        <v>9</v>
      </c>
      <c r="F47" s="124" t="s">
        <v>10</v>
      </c>
      <c r="G47" s="124">
        <v>2</v>
      </c>
      <c r="H47" s="124" t="s">
        <v>50</v>
      </c>
      <c r="I47" s="124"/>
      <c r="J47" s="124">
        <v>1</v>
      </c>
      <c r="K47" s="124"/>
      <c r="L47" s="124"/>
      <c r="M47" s="124"/>
      <c r="N47" s="125" t="s">
        <v>43</v>
      </c>
    </row>
    <row r="48" spans="1:14" s="114" customFormat="1" x14ac:dyDescent="0.25">
      <c r="A48" s="122" t="s">
        <v>77</v>
      </c>
      <c r="B48" s="123" t="s">
        <v>120</v>
      </c>
      <c r="C48" s="124" t="s">
        <v>6</v>
      </c>
      <c r="D48" s="124"/>
      <c r="E48" s="124" t="s">
        <v>11</v>
      </c>
      <c r="F48" s="124" t="s">
        <v>10</v>
      </c>
      <c r="G48" s="124">
        <v>2</v>
      </c>
      <c r="H48" s="124" t="s">
        <v>60</v>
      </c>
      <c r="I48" s="124"/>
      <c r="J48" s="124">
        <v>1</v>
      </c>
      <c r="K48" s="124"/>
      <c r="L48" s="124"/>
      <c r="M48" s="124"/>
      <c r="N48" s="125"/>
    </row>
    <row r="49" spans="1:14" s="114" customFormat="1" x14ac:dyDescent="0.25">
      <c r="A49" s="122" t="s">
        <v>77</v>
      </c>
      <c r="B49" s="123" t="s">
        <v>78</v>
      </c>
      <c r="C49" s="124" t="s">
        <v>7</v>
      </c>
      <c r="D49" s="124"/>
      <c r="E49" s="124" t="s">
        <v>13</v>
      </c>
      <c r="F49" s="124" t="s">
        <v>9</v>
      </c>
      <c r="G49" s="124">
        <v>2</v>
      </c>
      <c r="H49" s="124" t="s">
        <v>72</v>
      </c>
      <c r="I49" s="124"/>
      <c r="J49" s="124">
        <v>1</v>
      </c>
      <c r="K49" s="124"/>
      <c r="L49" s="124"/>
      <c r="M49" s="124"/>
      <c r="N49" s="125" t="s">
        <v>69</v>
      </c>
    </row>
    <row r="50" spans="1:14" s="114" customFormat="1" x14ac:dyDescent="0.25">
      <c r="A50" s="122" t="s">
        <v>32</v>
      </c>
      <c r="B50" s="123" t="s">
        <v>33</v>
      </c>
      <c r="C50" s="124" t="s">
        <v>6</v>
      </c>
      <c r="D50" s="124"/>
      <c r="E50" s="124" t="s">
        <v>10</v>
      </c>
      <c r="F50" s="124" t="s">
        <v>9</v>
      </c>
      <c r="G50" s="124">
        <v>2</v>
      </c>
      <c r="H50" s="124" t="s">
        <v>34</v>
      </c>
      <c r="I50" s="124"/>
      <c r="J50" s="124">
        <v>1</v>
      </c>
      <c r="K50" s="124"/>
      <c r="L50" s="124"/>
      <c r="M50" s="124"/>
      <c r="N50" s="125"/>
    </row>
    <row r="51" spans="1:14" s="114" customFormat="1" x14ac:dyDescent="0.25">
      <c r="A51" s="122" t="s">
        <v>75</v>
      </c>
      <c r="B51" s="123" t="s">
        <v>74</v>
      </c>
      <c r="C51" s="124" t="s">
        <v>7</v>
      </c>
      <c r="D51" s="124"/>
      <c r="E51" s="124" t="s">
        <v>11</v>
      </c>
      <c r="F51" s="124" t="s">
        <v>9</v>
      </c>
      <c r="G51" s="124">
        <v>2</v>
      </c>
      <c r="H51" s="124" t="s">
        <v>50</v>
      </c>
      <c r="I51" s="124"/>
      <c r="J51" s="124">
        <v>1</v>
      </c>
      <c r="K51" s="124"/>
      <c r="L51" s="124"/>
      <c r="M51" s="124"/>
      <c r="N51" s="125" t="s">
        <v>43</v>
      </c>
    </row>
    <row r="52" spans="1:14" s="114" customFormat="1" x14ac:dyDescent="0.25">
      <c r="A52" s="122" t="s">
        <v>109</v>
      </c>
      <c r="B52" s="123" t="s">
        <v>68</v>
      </c>
      <c r="C52" s="124" t="s">
        <v>6</v>
      </c>
      <c r="D52" s="124"/>
      <c r="E52" s="124" t="s">
        <v>11</v>
      </c>
      <c r="F52" s="124" t="s">
        <v>10</v>
      </c>
      <c r="G52" s="124">
        <v>2</v>
      </c>
      <c r="H52" s="124" t="s">
        <v>60</v>
      </c>
      <c r="I52" s="124"/>
      <c r="J52" s="124">
        <v>1</v>
      </c>
      <c r="K52" s="124"/>
      <c r="L52" s="124"/>
      <c r="M52" s="124"/>
      <c r="N52" s="125" t="s">
        <v>66</v>
      </c>
    </row>
    <row r="53" spans="1:14" s="114" customFormat="1" x14ac:dyDescent="0.25">
      <c r="A53" s="122" t="s">
        <v>93</v>
      </c>
      <c r="B53" s="123" t="s">
        <v>94</v>
      </c>
      <c r="C53" s="124" t="s">
        <v>6</v>
      </c>
      <c r="D53" s="124" t="s">
        <v>14</v>
      </c>
      <c r="E53" s="124" t="s">
        <v>11</v>
      </c>
      <c r="F53" s="124" t="s">
        <v>11</v>
      </c>
      <c r="G53" s="124">
        <v>2</v>
      </c>
      <c r="H53" s="124" t="s">
        <v>46</v>
      </c>
      <c r="I53" s="124"/>
      <c r="J53" s="124">
        <v>1</v>
      </c>
      <c r="K53" s="124"/>
      <c r="L53" s="124"/>
      <c r="M53" s="124"/>
      <c r="N53" s="125" t="s">
        <v>66</v>
      </c>
    </row>
    <row r="54" spans="1:14" s="114" customFormat="1" x14ac:dyDescent="0.25">
      <c r="A54" s="122" t="s">
        <v>83</v>
      </c>
      <c r="B54" s="123" t="s">
        <v>84</v>
      </c>
      <c r="C54" s="124" t="s">
        <v>7</v>
      </c>
      <c r="D54" s="124"/>
      <c r="E54" s="124" t="s">
        <v>10</v>
      </c>
      <c r="F54" s="124" t="s">
        <v>11</v>
      </c>
      <c r="G54" s="124">
        <v>2</v>
      </c>
      <c r="H54" s="124" t="s">
        <v>50</v>
      </c>
      <c r="I54" s="124"/>
      <c r="J54" s="124">
        <v>1</v>
      </c>
      <c r="K54" s="124"/>
      <c r="L54" s="124"/>
      <c r="M54" s="124"/>
      <c r="N54" s="125"/>
    </row>
    <row r="55" spans="1:14" s="114" customFormat="1" x14ac:dyDescent="0.25">
      <c r="A55" s="122" t="s">
        <v>83</v>
      </c>
      <c r="B55" s="123" t="s">
        <v>110</v>
      </c>
      <c r="C55" s="124" t="s">
        <v>6</v>
      </c>
      <c r="D55" s="124"/>
      <c r="E55" s="124" t="s">
        <v>9</v>
      </c>
      <c r="F55" s="124" t="s">
        <v>10</v>
      </c>
      <c r="G55" s="124">
        <v>2</v>
      </c>
      <c r="H55" s="124" t="s">
        <v>53</v>
      </c>
      <c r="I55" s="124"/>
      <c r="J55" s="124">
        <v>1</v>
      </c>
      <c r="K55" s="124"/>
      <c r="L55" s="124"/>
      <c r="M55" s="124"/>
      <c r="N55" s="125"/>
    </row>
    <row r="56" spans="1:14" s="114" customFormat="1" x14ac:dyDescent="0.25">
      <c r="A56" s="122" t="s">
        <v>113</v>
      </c>
      <c r="B56" s="123" t="s">
        <v>56</v>
      </c>
      <c r="C56" s="124" t="s">
        <v>7</v>
      </c>
      <c r="D56" s="124"/>
      <c r="E56" s="124" t="s">
        <v>11</v>
      </c>
      <c r="F56" s="124" t="s">
        <v>10</v>
      </c>
      <c r="G56" s="124">
        <v>2</v>
      </c>
      <c r="H56" s="124" t="s">
        <v>53</v>
      </c>
      <c r="I56" s="124"/>
      <c r="J56" s="124">
        <v>1</v>
      </c>
      <c r="K56" s="124"/>
      <c r="L56" s="124"/>
      <c r="M56" s="124"/>
      <c r="N56" s="125" t="s">
        <v>69</v>
      </c>
    </row>
    <row r="57" spans="1:14" s="114" customFormat="1" x14ac:dyDescent="0.25">
      <c r="A57" s="122" t="s">
        <v>44</v>
      </c>
      <c r="B57" s="123" t="s">
        <v>79</v>
      </c>
      <c r="C57" s="124" t="s">
        <v>7</v>
      </c>
      <c r="D57" s="124"/>
      <c r="E57" s="124" t="s">
        <v>10</v>
      </c>
      <c r="F57" s="124" t="s">
        <v>9</v>
      </c>
      <c r="G57" s="124">
        <v>2</v>
      </c>
      <c r="H57" s="124" t="s">
        <v>50</v>
      </c>
      <c r="I57" s="124"/>
      <c r="J57" s="124">
        <v>1</v>
      </c>
      <c r="K57" s="124"/>
      <c r="L57" s="124"/>
      <c r="M57" s="124"/>
      <c r="N57" s="125" t="s">
        <v>47</v>
      </c>
    </row>
    <row r="58" spans="1:14" s="114" customFormat="1" x14ac:dyDescent="0.25">
      <c r="A58" s="122" t="s">
        <v>44</v>
      </c>
      <c r="B58" s="123" t="s">
        <v>45</v>
      </c>
      <c r="C58" s="124" t="s">
        <v>6</v>
      </c>
      <c r="D58" s="124"/>
      <c r="E58" s="124" t="s">
        <v>12</v>
      </c>
      <c r="F58" s="124" t="s">
        <v>9</v>
      </c>
      <c r="G58" s="124">
        <v>2</v>
      </c>
      <c r="H58" s="124" t="s">
        <v>46</v>
      </c>
      <c r="I58" s="124"/>
      <c r="J58" s="124">
        <v>1</v>
      </c>
      <c r="K58" s="124"/>
      <c r="L58" s="124"/>
      <c r="M58" s="124"/>
      <c r="N58" s="125" t="s">
        <v>47</v>
      </c>
    </row>
    <row r="59" spans="1:14" s="114" customFormat="1" x14ac:dyDescent="0.25">
      <c r="A59" s="122" t="s">
        <v>67</v>
      </c>
      <c r="B59" s="123" t="s">
        <v>91</v>
      </c>
      <c r="C59" s="124" t="s">
        <v>6</v>
      </c>
      <c r="D59" s="124" t="s">
        <v>14</v>
      </c>
      <c r="E59" s="124" t="s">
        <v>9</v>
      </c>
      <c r="F59" s="124" t="s">
        <v>9</v>
      </c>
      <c r="G59" s="124">
        <v>2</v>
      </c>
      <c r="H59" s="124" t="s">
        <v>37</v>
      </c>
      <c r="I59" s="124"/>
      <c r="J59" s="124">
        <v>1</v>
      </c>
      <c r="K59" s="124"/>
      <c r="L59" s="124"/>
      <c r="M59" s="124"/>
      <c r="N59" s="125"/>
    </row>
    <row r="60" spans="1:14" s="114" customFormat="1" x14ac:dyDescent="0.25">
      <c r="A60" s="122" t="s">
        <v>67</v>
      </c>
      <c r="B60" s="123" t="s">
        <v>94</v>
      </c>
      <c r="C60" s="124" t="s">
        <v>6</v>
      </c>
      <c r="D60" s="124"/>
      <c r="E60" s="124" t="s">
        <v>9</v>
      </c>
      <c r="F60" s="124" t="s">
        <v>9</v>
      </c>
      <c r="G60" s="124">
        <v>2</v>
      </c>
      <c r="H60" s="124" t="s">
        <v>40</v>
      </c>
      <c r="I60" s="124"/>
      <c r="J60" s="124">
        <v>1</v>
      </c>
      <c r="K60" s="124"/>
      <c r="L60" s="124"/>
      <c r="M60" s="124"/>
      <c r="N60" s="125"/>
    </row>
    <row r="61" spans="1:14" s="114" customFormat="1" x14ac:dyDescent="0.25">
      <c r="A61" s="122" t="s">
        <v>67</v>
      </c>
      <c r="B61" s="123" t="s">
        <v>68</v>
      </c>
      <c r="C61" s="124" t="s">
        <v>6</v>
      </c>
      <c r="D61" s="124"/>
      <c r="E61" s="124" t="s">
        <v>9</v>
      </c>
      <c r="F61" s="124" t="s">
        <v>10</v>
      </c>
      <c r="G61" s="124">
        <v>2</v>
      </c>
      <c r="H61" s="124" t="s">
        <v>65</v>
      </c>
      <c r="I61" s="124"/>
      <c r="J61" s="124">
        <v>1</v>
      </c>
      <c r="K61" s="124"/>
      <c r="L61" s="124"/>
      <c r="M61" s="124"/>
      <c r="N61" s="125" t="s">
        <v>69</v>
      </c>
    </row>
    <row r="62" spans="1:14" s="114" customFormat="1" x14ac:dyDescent="0.25">
      <c r="A62" s="122" t="s">
        <v>100</v>
      </c>
      <c r="B62" s="123" t="s">
        <v>97</v>
      </c>
      <c r="C62" s="124" t="s">
        <v>7</v>
      </c>
      <c r="D62" s="124"/>
      <c r="E62" s="124" t="s">
        <v>10</v>
      </c>
      <c r="F62" s="124" t="s">
        <v>10</v>
      </c>
      <c r="G62" s="124">
        <v>2</v>
      </c>
      <c r="H62" s="124" t="s">
        <v>65</v>
      </c>
      <c r="I62" s="124"/>
      <c r="J62" s="124">
        <v>1</v>
      </c>
      <c r="K62" s="124"/>
      <c r="L62" s="124"/>
      <c r="M62" s="124"/>
      <c r="N62" s="125"/>
    </row>
    <row r="63" spans="1:14" s="114" customFormat="1" x14ac:dyDescent="0.25">
      <c r="A63" s="122" t="s">
        <v>105</v>
      </c>
      <c r="B63" s="123" t="s">
        <v>106</v>
      </c>
      <c r="C63" s="124" t="s">
        <v>6</v>
      </c>
      <c r="D63" s="124"/>
      <c r="E63" s="124" t="s">
        <v>13</v>
      </c>
      <c r="F63" s="124" t="s">
        <v>10</v>
      </c>
      <c r="G63" s="124">
        <v>2</v>
      </c>
      <c r="H63" s="124" t="s">
        <v>34</v>
      </c>
      <c r="I63" s="124"/>
      <c r="J63" s="124">
        <v>1</v>
      </c>
      <c r="K63" s="124"/>
      <c r="L63" s="124"/>
      <c r="M63" s="124"/>
      <c r="N63" s="125" t="s">
        <v>58</v>
      </c>
    </row>
    <row r="64" spans="1:14" s="114" customFormat="1" x14ac:dyDescent="0.25">
      <c r="A64" s="122" t="s">
        <v>89</v>
      </c>
      <c r="B64" s="123" t="s">
        <v>86</v>
      </c>
      <c r="C64" s="124" t="s">
        <v>6</v>
      </c>
      <c r="D64" s="124"/>
      <c r="E64" s="124" t="s">
        <v>10</v>
      </c>
      <c r="F64" s="124" t="s">
        <v>9</v>
      </c>
      <c r="G64" s="124">
        <v>2</v>
      </c>
      <c r="H64" s="124" t="s">
        <v>34</v>
      </c>
      <c r="I64" s="124"/>
      <c r="J64" s="124">
        <v>1</v>
      </c>
      <c r="K64" s="124"/>
      <c r="L64" s="124"/>
      <c r="M64" s="124"/>
      <c r="N64" s="125" t="s">
        <v>54</v>
      </c>
    </row>
    <row r="65" spans="1:14" s="114" customFormat="1" x14ac:dyDescent="0.25">
      <c r="A65" s="122" t="s">
        <v>119</v>
      </c>
      <c r="B65" s="123" t="s">
        <v>88</v>
      </c>
      <c r="C65" s="124" t="s">
        <v>6</v>
      </c>
      <c r="D65" s="124"/>
      <c r="E65" s="124" t="s">
        <v>9</v>
      </c>
      <c r="F65" s="124" t="s">
        <v>10</v>
      </c>
      <c r="G65" s="124">
        <v>2</v>
      </c>
      <c r="H65" s="124" t="s">
        <v>65</v>
      </c>
      <c r="I65" s="124"/>
      <c r="J65" s="124">
        <v>1</v>
      </c>
      <c r="K65" s="124"/>
      <c r="L65" s="124"/>
      <c r="M65" s="124"/>
      <c r="N65" s="125" t="s">
        <v>76</v>
      </c>
    </row>
    <row r="66" spans="1:14" s="114" customFormat="1" x14ac:dyDescent="0.25">
      <c r="A66" s="122" t="s">
        <v>38</v>
      </c>
      <c r="B66" s="123" t="s">
        <v>39</v>
      </c>
      <c r="C66" s="124" t="s">
        <v>7</v>
      </c>
      <c r="D66" s="124"/>
      <c r="E66" s="124" t="s">
        <v>9</v>
      </c>
      <c r="F66" s="124" t="s">
        <v>12</v>
      </c>
      <c r="G66" s="124">
        <v>2</v>
      </c>
      <c r="H66" s="124" t="s">
        <v>40</v>
      </c>
      <c r="I66" s="124"/>
      <c r="J66" s="124">
        <v>1</v>
      </c>
      <c r="K66" s="124"/>
      <c r="L66" s="124"/>
      <c r="M66" s="124"/>
      <c r="N66" s="125"/>
    </row>
    <row r="67" spans="1:14" s="114" customFormat="1" x14ac:dyDescent="0.25">
      <c r="A67" s="122" t="s">
        <v>38</v>
      </c>
      <c r="B67" s="123" t="s">
        <v>79</v>
      </c>
      <c r="C67" s="124" t="s">
        <v>7</v>
      </c>
      <c r="D67" s="124"/>
      <c r="E67" s="124" t="s">
        <v>11</v>
      </c>
      <c r="F67" s="124" t="s">
        <v>9</v>
      </c>
      <c r="G67" s="124">
        <v>2</v>
      </c>
      <c r="H67" s="124" t="s">
        <v>40</v>
      </c>
      <c r="I67" s="124"/>
      <c r="J67" s="124">
        <v>1</v>
      </c>
      <c r="K67" s="124"/>
      <c r="L67" s="124"/>
      <c r="M67" s="124"/>
      <c r="N67" s="125"/>
    </row>
    <row r="68" spans="1:14" s="114" customFormat="1" x14ac:dyDescent="0.25">
      <c r="A68" s="122" t="s">
        <v>35</v>
      </c>
      <c r="B68" s="123" t="s">
        <v>80</v>
      </c>
      <c r="C68" s="124" t="s">
        <v>7</v>
      </c>
      <c r="D68" s="124" t="s">
        <v>14</v>
      </c>
      <c r="E68" s="124" t="s">
        <v>10</v>
      </c>
      <c r="F68" s="124" t="s">
        <v>9</v>
      </c>
      <c r="G68" s="124">
        <v>2</v>
      </c>
      <c r="H68" s="124" t="s">
        <v>37</v>
      </c>
      <c r="I68" s="124"/>
      <c r="J68" s="124">
        <v>1</v>
      </c>
      <c r="K68" s="124"/>
      <c r="L68" s="124"/>
      <c r="M68" s="124"/>
      <c r="N68" s="125"/>
    </row>
    <row r="69" spans="1:14" s="114" customFormat="1" x14ac:dyDescent="0.25">
      <c r="A69" s="122" t="s">
        <v>35</v>
      </c>
      <c r="B69" s="123" t="s">
        <v>92</v>
      </c>
      <c r="C69" s="124" t="s">
        <v>7</v>
      </c>
      <c r="D69" s="124"/>
      <c r="E69" s="124" t="s">
        <v>9</v>
      </c>
      <c r="F69" s="124" t="s">
        <v>10</v>
      </c>
      <c r="G69" s="124">
        <v>2</v>
      </c>
      <c r="H69" s="124" t="s">
        <v>53</v>
      </c>
      <c r="I69" s="124"/>
      <c r="J69" s="124">
        <v>1</v>
      </c>
      <c r="K69" s="124"/>
      <c r="L69" s="124"/>
      <c r="M69" s="124">
        <v>1</v>
      </c>
      <c r="N69" s="125" t="s">
        <v>58</v>
      </c>
    </row>
    <row r="70" spans="1:14" s="114" customFormat="1" x14ac:dyDescent="0.25">
      <c r="A70" s="122" t="s">
        <v>59</v>
      </c>
      <c r="B70" s="123" t="s">
        <v>39</v>
      </c>
      <c r="C70" s="124" t="s">
        <v>7</v>
      </c>
      <c r="D70" s="124"/>
      <c r="E70" s="124" t="s">
        <v>10</v>
      </c>
      <c r="F70" s="124" t="s">
        <v>10</v>
      </c>
      <c r="G70" s="124">
        <v>2</v>
      </c>
      <c r="H70" s="124" t="s">
        <v>60</v>
      </c>
      <c r="I70" s="124"/>
      <c r="J70" s="124">
        <v>1</v>
      </c>
      <c r="K70" s="124"/>
      <c r="L70" s="124"/>
      <c r="M70" s="124"/>
      <c r="N70" s="125" t="s">
        <v>43</v>
      </c>
    </row>
    <row r="71" spans="1:14" s="114" customFormat="1" x14ac:dyDescent="0.25">
      <c r="A71" s="122" t="s">
        <v>59</v>
      </c>
      <c r="B71" s="123" t="s">
        <v>118</v>
      </c>
      <c r="C71" s="124" t="s">
        <v>6</v>
      </c>
      <c r="D71" s="124" t="s">
        <v>14</v>
      </c>
      <c r="E71" s="124" t="s">
        <v>9</v>
      </c>
      <c r="F71" s="124" t="s">
        <v>9</v>
      </c>
      <c r="G71" s="124">
        <v>2</v>
      </c>
      <c r="H71" s="124" t="s">
        <v>65</v>
      </c>
      <c r="I71" s="124"/>
      <c r="J71" s="124">
        <v>1</v>
      </c>
      <c r="K71" s="124"/>
      <c r="L71" s="124"/>
      <c r="M71" s="124"/>
      <c r="N71" s="125" t="s">
        <v>66</v>
      </c>
    </row>
    <row r="72" spans="1:14" s="114" customFormat="1" x14ac:dyDescent="0.25">
      <c r="A72" s="122" t="s">
        <v>59</v>
      </c>
      <c r="B72" s="123" t="s">
        <v>97</v>
      </c>
      <c r="C72" s="124" t="s">
        <v>7</v>
      </c>
      <c r="D72" s="124" t="s">
        <v>14</v>
      </c>
      <c r="E72" s="124" t="s">
        <v>12</v>
      </c>
      <c r="F72" s="124" t="s">
        <v>10</v>
      </c>
      <c r="G72" s="124">
        <v>2</v>
      </c>
      <c r="H72" s="124" t="s">
        <v>40</v>
      </c>
      <c r="I72" s="124"/>
      <c r="J72" s="124">
        <v>1</v>
      </c>
      <c r="K72" s="124"/>
      <c r="L72" s="124"/>
      <c r="M72" s="124"/>
      <c r="N72" s="125" t="s">
        <v>66</v>
      </c>
    </row>
    <row r="73" spans="1:14" s="114" customFormat="1" x14ac:dyDescent="0.25">
      <c r="A73" s="122" t="s">
        <v>73</v>
      </c>
      <c r="B73" s="123" t="s">
        <v>74</v>
      </c>
      <c r="C73" s="124" t="s">
        <v>7</v>
      </c>
      <c r="D73" s="124"/>
      <c r="E73" s="124" t="s">
        <v>11</v>
      </c>
      <c r="F73" s="124" t="s">
        <v>9</v>
      </c>
      <c r="G73" s="124">
        <v>2</v>
      </c>
      <c r="H73" s="124" t="s">
        <v>60</v>
      </c>
      <c r="I73" s="124"/>
      <c r="J73" s="124">
        <v>1</v>
      </c>
      <c r="K73" s="124"/>
      <c r="L73" s="124"/>
      <c r="M73" s="124">
        <v>1</v>
      </c>
      <c r="N73" s="125" t="s">
        <v>69</v>
      </c>
    </row>
    <row r="74" spans="1:14" s="114" customFormat="1" x14ac:dyDescent="0.25">
      <c r="A74" s="122" t="s">
        <v>82</v>
      </c>
      <c r="B74" s="123" t="s">
        <v>79</v>
      </c>
      <c r="C74" s="124" t="s">
        <v>7</v>
      </c>
      <c r="D74" s="124"/>
      <c r="E74" s="124" t="s">
        <v>9</v>
      </c>
      <c r="F74" s="124" t="s">
        <v>10</v>
      </c>
      <c r="G74" s="124">
        <v>3</v>
      </c>
      <c r="H74" s="124" t="s">
        <v>46</v>
      </c>
      <c r="I74" s="124"/>
      <c r="J74" s="124">
        <v>1</v>
      </c>
      <c r="K74" s="124"/>
      <c r="L74" s="124"/>
      <c r="M74" s="124"/>
      <c r="N74" s="125" t="s">
        <v>47</v>
      </c>
    </row>
    <row r="75" spans="1:14" s="114" customFormat="1" x14ac:dyDescent="0.25">
      <c r="A75" s="122" t="s">
        <v>41</v>
      </c>
      <c r="B75" s="123" t="s">
        <v>56</v>
      </c>
      <c r="C75" s="124" t="s">
        <v>7</v>
      </c>
      <c r="D75" s="124"/>
      <c r="E75" s="124" t="s">
        <v>10</v>
      </c>
      <c r="F75" s="124" t="s">
        <v>13</v>
      </c>
      <c r="G75" s="124">
        <v>3</v>
      </c>
      <c r="H75" s="124" t="s">
        <v>60</v>
      </c>
      <c r="I75" s="124">
        <v>1</v>
      </c>
      <c r="J75" s="124"/>
      <c r="K75" s="124">
        <v>1</v>
      </c>
      <c r="L75" s="124" t="s">
        <v>57</v>
      </c>
      <c r="M75" s="124"/>
      <c r="N75" s="125"/>
    </row>
    <row r="76" spans="1:14" s="114" customFormat="1" x14ac:dyDescent="0.25">
      <c r="A76" s="122" t="s">
        <v>75</v>
      </c>
      <c r="B76" s="123" t="s">
        <v>126</v>
      </c>
      <c r="C76" s="124" t="s">
        <v>7</v>
      </c>
      <c r="D76" s="124"/>
      <c r="E76" s="124" t="s">
        <v>9</v>
      </c>
      <c r="F76" s="124" t="s">
        <v>11</v>
      </c>
      <c r="G76" s="124">
        <v>3</v>
      </c>
      <c r="H76" s="124" t="s">
        <v>53</v>
      </c>
      <c r="I76" s="124">
        <v>1</v>
      </c>
      <c r="J76" s="124"/>
      <c r="K76" s="124">
        <v>1</v>
      </c>
      <c r="L76" s="124" t="s">
        <v>87</v>
      </c>
      <c r="M76" s="124"/>
      <c r="N76" s="125" t="s">
        <v>66</v>
      </c>
    </row>
    <row r="77" spans="1:14" s="114" customFormat="1" x14ac:dyDescent="0.25">
      <c r="A77" s="122" t="s">
        <v>75</v>
      </c>
      <c r="B77" s="123" t="s">
        <v>33</v>
      </c>
      <c r="C77" s="124" t="s">
        <v>6</v>
      </c>
      <c r="D77" s="124" t="s">
        <v>14</v>
      </c>
      <c r="E77" s="124" t="s">
        <v>13</v>
      </c>
      <c r="F77" s="124" t="s">
        <v>10</v>
      </c>
      <c r="G77" s="124">
        <v>3</v>
      </c>
      <c r="H77" s="124" t="s">
        <v>50</v>
      </c>
      <c r="I77" s="124"/>
      <c r="J77" s="124">
        <v>1</v>
      </c>
      <c r="K77" s="124"/>
      <c r="L77" s="124"/>
      <c r="M77" s="124"/>
      <c r="N77" s="125" t="s">
        <v>81</v>
      </c>
    </row>
    <row r="78" spans="1:14" s="114" customFormat="1" x14ac:dyDescent="0.25">
      <c r="A78" s="122" t="s">
        <v>85</v>
      </c>
      <c r="B78" s="123" t="s">
        <v>86</v>
      </c>
      <c r="C78" s="124" t="s">
        <v>6</v>
      </c>
      <c r="D78" s="124"/>
      <c r="E78" s="124" t="s">
        <v>13</v>
      </c>
      <c r="F78" s="124" t="s">
        <v>10</v>
      </c>
      <c r="G78" s="124">
        <v>3</v>
      </c>
      <c r="H78" s="124" t="s">
        <v>40</v>
      </c>
      <c r="I78" s="124">
        <v>1</v>
      </c>
      <c r="J78" s="124"/>
      <c r="K78" s="124">
        <v>1</v>
      </c>
      <c r="L78" s="124" t="s">
        <v>87</v>
      </c>
      <c r="M78" s="124"/>
      <c r="N78" s="125" t="s">
        <v>54</v>
      </c>
    </row>
    <row r="79" spans="1:14" s="114" customFormat="1" x14ac:dyDescent="0.25">
      <c r="A79" s="122" t="s">
        <v>107</v>
      </c>
      <c r="B79" s="123" t="s">
        <v>108</v>
      </c>
      <c r="C79" s="124" t="s">
        <v>7</v>
      </c>
      <c r="D79" s="124"/>
      <c r="E79" s="124" t="s">
        <v>9</v>
      </c>
      <c r="F79" s="124" t="s">
        <v>11</v>
      </c>
      <c r="G79" s="124">
        <v>3</v>
      </c>
      <c r="H79" s="124" t="s">
        <v>37</v>
      </c>
      <c r="I79" s="124">
        <v>1</v>
      </c>
      <c r="J79" s="124"/>
      <c r="K79" s="124"/>
      <c r="L79" s="124"/>
      <c r="M79" s="124"/>
      <c r="N79" s="125" t="s">
        <v>54</v>
      </c>
    </row>
    <row r="80" spans="1:14" s="114" customFormat="1" x14ac:dyDescent="0.25">
      <c r="A80" s="122" t="s">
        <v>93</v>
      </c>
      <c r="B80" s="123" t="s">
        <v>74</v>
      </c>
      <c r="C80" s="124" t="s">
        <v>7</v>
      </c>
      <c r="D80" s="124"/>
      <c r="E80" s="124" t="s">
        <v>11</v>
      </c>
      <c r="F80" s="124" t="s">
        <v>12</v>
      </c>
      <c r="G80" s="124">
        <v>3</v>
      </c>
      <c r="H80" s="124" t="s">
        <v>34</v>
      </c>
      <c r="I80" s="124"/>
      <c r="J80" s="124">
        <v>1</v>
      </c>
      <c r="K80" s="124">
        <v>1</v>
      </c>
      <c r="L80" s="124" t="s">
        <v>87</v>
      </c>
      <c r="M80" s="124"/>
      <c r="N80" s="125"/>
    </row>
    <row r="81" spans="1:14" s="114" customFormat="1" x14ac:dyDescent="0.25">
      <c r="A81" s="122" t="s">
        <v>93</v>
      </c>
      <c r="B81" s="123" t="s">
        <v>79</v>
      </c>
      <c r="C81" s="124" t="s">
        <v>7</v>
      </c>
      <c r="D81" s="124"/>
      <c r="E81" s="124" t="s">
        <v>9</v>
      </c>
      <c r="F81" s="124" t="s">
        <v>11</v>
      </c>
      <c r="G81" s="124">
        <v>3</v>
      </c>
      <c r="H81" s="124" t="s">
        <v>53</v>
      </c>
      <c r="I81" s="124"/>
      <c r="J81" s="124">
        <v>1</v>
      </c>
      <c r="K81" s="124"/>
      <c r="L81" s="124"/>
      <c r="M81" s="124"/>
      <c r="N81" s="125" t="s">
        <v>69</v>
      </c>
    </row>
    <row r="82" spans="1:14" s="114" customFormat="1" x14ac:dyDescent="0.25">
      <c r="A82" s="122" t="s">
        <v>93</v>
      </c>
      <c r="B82" s="123" t="s">
        <v>45</v>
      </c>
      <c r="C82" s="124" t="s">
        <v>6</v>
      </c>
      <c r="D82" s="124" t="s">
        <v>14</v>
      </c>
      <c r="E82" s="124" t="s">
        <v>9</v>
      </c>
      <c r="F82" s="124" t="s">
        <v>13</v>
      </c>
      <c r="G82" s="124">
        <v>3</v>
      </c>
      <c r="H82" s="124" t="s">
        <v>72</v>
      </c>
      <c r="I82" s="124">
        <v>1</v>
      </c>
      <c r="J82" s="124"/>
      <c r="K82" s="124">
        <v>1</v>
      </c>
      <c r="L82" s="124" t="s">
        <v>57</v>
      </c>
      <c r="M82" s="124"/>
      <c r="N82" s="125" t="s">
        <v>43</v>
      </c>
    </row>
    <row r="83" spans="1:14" s="114" customFormat="1" x14ac:dyDescent="0.25">
      <c r="A83" s="122" t="s">
        <v>55</v>
      </c>
      <c r="B83" s="123" t="s">
        <v>97</v>
      </c>
      <c r="C83" s="124" t="s">
        <v>7</v>
      </c>
      <c r="D83" s="124"/>
      <c r="E83" s="124" t="s">
        <v>9</v>
      </c>
      <c r="F83" s="124" t="s">
        <v>9</v>
      </c>
      <c r="G83" s="124">
        <v>3</v>
      </c>
      <c r="H83" s="124" t="s">
        <v>34</v>
      </c>
      <c r="I83" s="124">
        <v>1</v>
      </c>
      <c r="J83" s="124"/>
      <c r="K83" s="124"/>
      <c r="L83" s="124"/>
      <c r="M83" s="124"/>
      <c r="N83" s="125" t="s">
        <v>66</v>
      </c>
    </row>
    <row r="84" spans="1:14" s="114" customFormat="1" x14ac:dyDescent="0.25">
      <c r="A84" s="122" t="s">
        <v>90</v>
      </c>
      <c r="B84" s="123" t="s">
        <v>91</v>
      </c>
      <c r="C84" s="124" t="s">
        <v>6</v>
      </c>
      <c r="D84" s="124"/>
      <c r="E84" s="124" t="s">
        <v>9</v>
      </c>
      <c r="F84" s="124" t="s">
        <v>11</v>
      </c>
      <c r="G84" s="124">
        <v>3</v>
      </c>
      <c r="H84" s="124" t="s">
        <v>50</v>
      </c>
      <c r="I84" s="124"/>
      <c r="J84" s="124">
        <v>1</v>
      </c>
      <c r="K84" s="124"/>
      <c r="L84" s="124"/>
      <c r="M84" s="124"/>
      <c r="N84" s="125"/>
    </row>
    <row r="85" spans="1:14" s="114" customFormat="1" x14ac:dyDescent="0.25">
      <c r="A85" s="122" t="s">
        <v>95</v>
      </c>
      <c r="B85" s="123" t="s">
        <v>45</v>
      </c>
      <c r="C85" s="124" t="s">
        <v>6</v>
      </c>
      <c r="D85" s="124"/>
      <c r="E85" s="124" t="s">
        <v>10</v>
      </c>
      <c r="F85" s="124" t="s">
        <v>9</v>
      </c>
      <c r="G85" s="124">
        <v>3</v>
      </c>
      <c r="H85" s="124" t="s">
        <v>40</v>
      </c>
      <c r="I85" s="124">
        <v>1</v>
      </c>
      <c r="J85" s="124"/>
      <c r="K85" s="124"/>
      <c r="L85" s="124"/>
      <c r="M85" s="124"/>
      <c r="N85" s="125" t="s">
        <v>58</v>
      </c>
    </row>
    <row r="86" spans="1:14" s="114" customFormat="1" x14ac:dyDescent="0.25">
      <c r="A86" s="122" t="s">
        <v>102</v>
      </c>
      <c r="B86" s="123" t="s">
        <v>45</v>
      </c>
      <c r="C86" s="124" t="s">
        <v>6</v>
      </c>
      <c r="D86" s="124"/>
      <c r="E86" s="124" t="s">
        <v>11</v>
      </c>
      <c r="F86" s="124" t="s">
        <v>10</v>
      </c>
      <c r="G86" s="124">
        <v>3</v>
      </c>
      <c r="H86" s="124" t="s">
        <v>65</v>
      </c>
      <c r="I86" s="124">
        <v>1</v>
      </c>
      <c r="J86" s="124"/>
      <c r="K86" s="124"/>
      <c r="L86" s="124"/>
      <c r="M86" s="124"/>
      <c r="N86" s="125" t="s">
        <v>66</v>
      </c>
    </row>
    <row r="87" spans="1:14" s="114" customFormat="1" x14ac:dyDescent="0.25">
      <c r="A87" s="122" t="s">
        <v>63</v>
      </c>
      <c r="B87" s="123" t="s">
        <v>64</v>
      </c>
      <c r="C87" s="124" t="s">
        <v>6</v>
      </c>
      <c r="D87" s="124"/>
      <c r="E87" s="124" t="s">
        <v>11</v>
      </c>
      <c r="F87" s="124" t="s">
        <v>10</v>
      </c>
      <c r="G87" s="124">
        <v>3</v>
      </c>
      <c r="H87" s="124" t="s">
        <v>65</v>
      </c>
      <c r="I87" s="124">
        <v>1</v>
      </c>
      <c r="J87" s="124"/>
      <c r="K87" s="124"/>
      <c r="L87" s="124"/>
      <c r="M87" s="124"/>
      <c r="N87" s="125" t="s">
        <v>66</v>
      </c>
    </row>
    <row r="88" spans="1:14" s="114" customFormat="1" x14ac:dyDescent="0.25">
      <c r="A88" s="122" t="s">
        <v>121</v>
      </c>
      <c r="B88" s="123" t="s">
        <v>115</v>
      </c>
      <c r="C88" s="124" t="s">
        <v>7</v>
      </c>
      <c r="D88" s="124"/>
      <c r="E88" s="124" t="s">
        <v>11</v>
      </c>
      <c r="F88" s="124" t="s">
        <v>9</v>
      </c>
      <c r="G88" s="124">
        <v>3</v>
      </c>
      <c r="H88" s="124" t="s">
        <v>50</v>
      </c>
      <c r="I88" s="124"/>
      <c r="J88" s="124">
        <v>1</v>
      </c>
      <c r="K88" s="124">
        <v>1</v>
      </c>
      <c r="L88" s="124" t="s">
        <v>87</v>
      </c>
      <c r="M88" s="124"/>
      <c r="N88" s="125"/>
    </row>
    <row r="89" spans="1:14" s="114" customFormat="1" x14ac:dyDescent="0.25">
      <c r="A89" s="122" t="s">
        <v>70</v>
      </c>
      <c r="B89" s="123" t="s">
        <v>71</v>
      </c>
      <c r="C89" s="124" t="s">
        <v>6</v>
      </c>
      <c r="D89" s="124"/>
      <c r="E89" s="124" t="s">
        <v>11</v>
      </c>
      <c r="F89" s="124" t="s">
        <v>9</v>
      </c>
      <c r="G89" s="124">
        <v>3</v>
      </c>
      <c r="H89" s="124" t="s">
        <v>72</v>
      </c>
      <c r="I89" s="124"/>
      <c r="J89" s="124">
        <v>1</v>
      </c>
      <c r="K89" s="124">
        <v>1</v>
      </c>
      <c r="L89" s="124" t="s">
        <v>57</v>
      </c>
      <c r="M89" s="124"/>
      <c r="N89" s="125" t="s">
        <v>47</v>
      </c>
    </row>
    <row r="90" spans="1:14" s="114" customFormat="1" x14ac:dyDescent="0.25">
      <c r="A90" s="122" t="s">
        <v>111</v>
      </c>
      <c r="B90" s="123" t="s">
        <v>68</v>
      </c>
      <c r="C90" s="124" t="s">
        <v>6</v>
      </c>
      <c r="D90" s="124"/>
      <c r="E90" s="124" t="s">
        <v>12</v>
      </c>
      <c r="F90" s="124" t="s">
        <v>9</v>
      </c>
      <c r="G90" s="124">
        <v>3</v>
      </c>
      <c r="H90" s="124" t="s">
        <v>53</v>
      </c>
      <c r="I90" s="124"/>
      <c r="J90" s="124">
        <v>1</v>
      </c>
      <c r="K90" s="124"/>
      <c r="L90" s="124"/>
      <c r="M90" s="124"/>
      <c r="N90" s="125" t="s">
        <v>66</v>
      </c>
    </row>
    <row r="91" spans="1:14" s="114" customFormat="1" x14ac:dyDescent="0.25">
      <c r="A91" s="122" t="s">
        <v>96</v>
      </c>
      <c r="B91" s="123" t="s">
        <v>74</v>
      </c>
      <c r="C91" s="124" t="s">
        <v>7</v>
      </c>
      <c r="D91" s="124"/>
      <c r="E91" s="124" t="s">
        <v>9</v>
      </c>
      <c r="F91" s="124" t="s">
        <v>13</v>
      </c>
      <c r="G91" s="124">
        <v>3</v>
      </c>
      <c r="H91" s="124" t="s">
        <v>53</v>
      </c>
      <c r="I91" s="124">
        <v>1</v>
      </c>
      <c r="J91" s="124"/>
      <c r="K91" s="124"/>
      <c r="L91" s="124"/>
      <c r="M91" s="124"/>
      <c r="N91" s="125"/>
    </row>
    <row r="92" spans="1:14" s="114" customFormat="1" x14ac:dyDescent="0.25">
      <c r="A92" s="122" t="s">
        <v>48</v>
      </c>
      <c r="B92" s="123" t="s">
        <v>112</v>
      </c>
      <c r="C92" s="124" t="s">
        <v>6</v>
      </c>
      <c r="D92" s="124"/>
      <c r="E92" s="124" t="s">
        <v>11</v>
      </c>
      <c r="F92" s="124" t="s">
        <v>10</v>
      </c>
      <c r="G92" s="124">
        <v>3</v>
      </c>
      <c r="H92" s="124" t="s">
        <v>53</v>
      </c>
      <c r="I92" s="124"/>
      <c r="J92" s="124">
        <v>1</v>
      </c>
      <c r="K92" s="124"/>
      <c r="L92" s="124"/>
      <c r="M92" s="124"/>
      <c r="N92" s="125"/>
    </row>
    <row r="93" spans="1:14" s="114" customFormat="1" x14ac:dyDescent="0.25">
      <c r="A93" s="122" t="s">
        <v>48</v>
      </c>
      <c r="B93" s="123" t="s">
        <v>49</v>
      </c>
      <c r="C93" s="124" t="s">
        <v>7</v>
      </c>
      <c r="D93" s="124"/>
      <c r="E93" s="124" t="s">
        <v>13</v>
      </c>
      <c r="F93" s="124" t="s">
        <v>13</v>
      </c>
      <c r="G93" s="124">
        <v>3</v>
      </c>
      <c r="H93" s="124" t="s">
        <v>50</v>
      </c>
      <c r="I93" s="124">
        <v>1</v>
      </c>
      <c r="J93" s="124"/>
      <c r="K93" s="124"/>
      <c r="L93" s="124"/>
      <c r="M93" s="124"/>
      <c r="N93" s="125"/>
    </row>
    <row r="94" spans="1:14" s="114" customFormat="1" x14ac:dyDescent="0.25">
      <c r="A94" s="122" t="s">
        <v>103</v>
      </c>
      <c r="B94" s="123" t="s">
        <v>104</v>
      </c>
      <c r="C94" s="124" t="s">
        <v>7</v>
      </c>
      <c r="D94" s="124"/>
      <c r="E94" s="124" t="s">
        <v>13</v>
      </c>
      <c r="F94" s="124" t="s">
        <v>9</v>
      </c>
      <c r="G94" s="124">
        <v>3</v>
      </c>
      <c r="H94" s="124" t="s">
        <v>40</v>
      </c>
      <c r="I94" s="124">
        <v>1</v>
      </c>
      <c r="J94" s="124"/>
      <c r="K94" s="124"/>
      <c r="L94" s="124"/>
      <c r="M94" s="124"/>
      <c r="N94" s="125" t="s">
        <v>69</v>
      </c>
    </row>
    <row r="95" spans="1:14" s="114" customFormat="1" x14ac:dyDescent="0.25">
      <c r="A95" s="122" t="s">
        <v>123</v>
      </c>
      <c r="B95" s="123" t="s">
        <v>68</v>
      </c>
      <c r="C95" s="124" t="s">
        <v>6</v>
      </c>
      <c r="D95" s="124"/>
      <c r="E95" s="124" t="s">
        <v>10</v>
      </c>
      <c r="F95" s="124" t="s">
        <v>9</v>
      </c>
      <c r="G95" s="124">
        <v>3</v>
      </c>
      <c r="H95" s="124" t="s">
        <v>40</v>
      </c>
      <c r="I95" s="124"/>
      <c r="J95" s="124">
        <v>1</v>
      </c>
      <c r="K95" s="124">
        <v>1</v>
      </c>
      <c r="L95" s="124" t="s">
        <v>62</v>
      </c>
      <c r="M95" s="124"/>
      <c r="N95" s="125" t="s">
        <v>69</v>
      </c>
    </row>
    <row r="96" spans="1:14" s="114" customFormat="1" x14ac:dyDescent="0.25">
      <c r="A96" s="122" t="s">
        <v>51</v>
      </c>
      <c r="B96" s="123" t="s">
        <v>52</v>
      </c>
      <c r="C96" s="124" t="s">
        <v>6</v>
      </c>
      <c r="D96" s="124"/>
      <c r="E96" s="124" t="s">
        <v>10</v>
      </c>
      <c r="F96" s="124" t="s">
        <v>10</v>
      </c>
      <c r="G96" s="124">
        <v>3</v>
      </c>
      <c r="H96" s="124" t="s">
        <v>53</v>
      </c>
      <c r="I96" s="124">
        <v>1</v>
      </c>
      <c r="J96" s="124"/>
      <c r="K96" s="124"/>
      <c r="L96" s="124"/>
      <c r="M96" s="124"/>
      <c r="N96" s="125" t="s">
        <v>54</v>
      </c>
    </row>
    <row r="97" spans="1:14" s="114" customFormat="1" x14ac:dyDescent="0.25">
      <c r="A97" s="122" t="s">
        <v>38</v>
      </c>
      <c r="B97" s="123" t="s">
        <v>49</v>
      </c>
      <c r="C97" s="124" t="s">
        <v>7</v>
      </c>
      <c r="D97" s="124"/>
      <c r="E97" s="124" t="s">
        <v>13</v>
      </c>
      <c r="F97" s="124" t="s">
        <v>10</v>
      </c>
      <c r="G97" s="124">
        <v>3</v>
      </c>
      <c r="H97" s="124" t="s">
        <v>60</v>
      </c>
      <c r="I97" s="124">
        <v>1</v>
      </c>
      <c r="J97" s="124"/>
      <c r="K97" s="124"/>
      <c r="L97" s="124"/>
      <c r="M97" s="124"/>
      <c r="N97" s="125" t="s">
        <v>76</v>
      </c>
    </row>
    <row r="98" spans="1:14" s="114" customFormat="1" x14ac:dyDescent="0.25">
      <c r="A98" s="122" t="s">
        <v>35</v>
      </c>
      <c r="B98" s="123" t="s">
        <v>36</v>
      </c>
      <c r="C98" s="124" t="s">
        <v>6</v>
      </c>
      <c r="D98" s="124"/>
      <c r="E98" s="124" t="s">
        <v>10</v>
      </c>
      <c r="F98" s="124" t="s">
        <v>10</v>
      </c>
      <c r="G98" s="124">
        <v>3</v>
      </c>
      <c r="H98" s="124" t="s">
        <v>37</v>
      </c>
      <c r="I98" s="124">
        <v>1</v>
      </c>
      <c r="J98" s="124"/>
      <c r="K98" s="124"/>
      <c r="L98" s="124"/>
      <c r="M98" s="124"/>
      <c r="N98" s="125"/>
    </row>
    <row r="99" spans="1:14" s="114" customFormat="1" x14ac:dyDescent="0.25">
      <c r="A99" s="122" t="s">
        <v>59</v>
      </c>
      <c r="B99" s="123" t="s">
        <v>61</v>
      </c>
      <c r="C99" s="124" t="s">
        <v>6</v>
      </c>
      <c r="D99" s="124"/>
      <c r="E99" s="124" t="s">
        <v>9</v>
      </c>
      <c r="F99" s="124" t="s">
        <v>11</v>
      </c>
      <c r="G99" s="124">
        <v>3</v>
      </c>
      <c r="H99" s="124" t="s">
        <v>65</v>
      </c>
      <c r="I99" s="124">
        <v>1</v>
      </c>
      <c r="J99" s="124"/>
      <c r="K99" s="124">
        <v>1</v>
      </c>
      <c r="L99" s="124" t="s">
        <v>87</v>
      </c>
      <c r="M99" s="124"/>
      <c r="N99" s="125"/>
    </row>
    <row r="100" spans="1:14" s="114" customFormat="1" x14ac:dyDescent="0.25">
      <c r="A100" s="122" t="s">
        <v>73</v>
      </c>
      <c r="B100" s="123" t="s">
        <v>78</v>
      </c>
      <c r="C100" s="124" t="s">
        <v>7</v>
      </c>
      <c r="D100" s="124"/>
      <c r="E100" s="124" t="s">
        <v>10</v>
      </c>
      <c r="F100" s="124" t="s">
        <v>12</v>
      </c>
      <c r="G100" s="124">
        <v>3</v>
      </c>
      <c r="H100" s="124" t="s">
        <v>72</v>
      </c>
      <c r="I100" s="124">
        <v>1</v>
      </c>
      <c r="J100" s="124"/>
      <c r="K100" s="124">
        <v>1</v>
      </c>
      <c r="L100" s="124" t="s">
        <v>57</v>
      </c>
      <c r="M100" s="124"/>
      <c r="N100" s="125"/>
    </row>
    <row r="101" spans="1:14" x14ac:dyDescent="0.25">
      <c r="A101" s="113"/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</sheetData>
  <sheetProtection sheet="1" objects="1" scenarios="1" insertRows="0" deleteRows="0" sort="0" autoFilter="0"/>
  <autoFilter ref="A18:N100">
    <sortState ref="A19:N100">
      <sortCondition ref="G19:G100"/>
      <sortCondition ref="A19:A100"/>
      <sortCondition ref="B19:B100"/>
    </sortState>
  </autoFilter>
  <conditionalFormatting sqref="A19:B100">
    <cfRule type="expression" dxfId="60" priority="54">
      <formula>$F19="C"</formula>
    </cfRule>
    <cfRule type="expression" dxfId="59" priority="55">
      <formula>$F19="D"</formula>
    </cfRule>
    <cfRule type="expression" dxfId="58" priority="56">
      <formula>$F19="E"</formula>
    </cfRule>
    <cfRule type="expression" dxfId="57" priority="58">
      <formula>$G19=1</formula>
    </cfRule>
    <cfRule type="expression" dxfId="56" priority="60">
      <formula>$G19=2</formula>
    </cfRule>
    <cfRule type="expression" dxfId="55" priority="62">
      <formula>$G19=3</formula>
    </cfRule>
  </conditionalFormatting>
  <conditionalFormatting sqref="A19:N100">
    <cfRule type="expression" dxfId="54" priority="44" stopIfTrue="1">
      <formula>$G19="NA"</formula>
    </cfRule>
    <cfRule type="expression" dxfId="53" priority="45" stopIfTrue="1">
      <formula>SUM($I19:$J19)&gt;1</formula>
    </cfRule>
    <cfRule type="expression" dxfId="52" priority="68">
      <formula>$G19=""</formula>
    </cfRule>
  </conditionalFormatting>
  <conditionalFormatting sqref="C11">
    <cfRule type="cellIs" dxfId="51" priority="5" stopIfTrue="1" operator="equal">
      <formula>0</formula>
    </cfRule>
  </conditionalFormatting>
  <conditionalFormatting sqref="C12:C15">
    <cfRule type="cellIs" dxfId="50" priority="7" stopIfTrue="1" operator="equal">
      <formula>0</formula>
    </cfRule>
  </conditionalFormatting>
  <conditionalFormatting sqref="C16">
    <cfRule type="cellIs" dxfId="49" priority="6" stopIfTrue="1" operator="equal">
      <formula>0</formula>
    </cfRule>
  </conditionalFormatting>
  <conditionalFormatting sqref="C19:C100">
    <cfRule type="cellIs" dxfId="48" priority="46" operator="equal">
      <formula>"F"</formula>
    </cfRule>
    <cfRule type="cellIs" dxfId="47" priority="47" operator="equal">
      <formula>"G"</formula>
    </cfRule>
  </conditionalFormatting>
  <conditionalFormatting sqref="C2">
    <cfRule type="cellIs" dxfId="46" priority="1" operator="equal">
      <formula>0</formula>
    </cfRule>
  </conditionalFormatting>
  <conditionalFormatting sqref="C3:C4">
    <cfRule type="cellIs" dxfId="45" priority="2" operator="equal">
      <formula>0</formula>
    </cfRule>
  </conditionalFormatting>
  <conditionalFormatting sqref="C5:H5">
    <cfRule type="dataBar" priority="22">
      <dataBar>
        <cfvo type="num" val="-2"/>
        <cfvo type="num" val="102"/>
        <color rgb="FFCC66CC"/>
      </dataBar>
      <extLst>
        <ext xmlns:x14="http://schemas.microsoft.com/office/spreadsheetml/2009/9/main" uri="{B025F937-C7B1-47D3-B67F-A62EFF666E3E}">
          <x14:id>{DA7ABA51-AAAA-BBBB-0002-000000000001}</x14:id>
        </ext>
      </extLst>
    </cfRule>
  </conditionalFormatting>
  <conditionalFormatting sqref="C6:C10">
    <cfRule type="cellIs" dxfId="44" priority="3" stopIfTrue="1" operator="equal">
      <formula>0</formula>
    </cfRule>
    <cfRule type="dataBar" priority="4">
      <dataBar>
        <cfvo type="min"/>
        <cfvo type="max"/>
        <color rgb="FF00CC33"/>
      </dataBar>
      <extLst>
        <ext xmlns:x14="http://schemas.microsoft.com/office/spreadsheetml/2009/9/main" uri="{B025F937-C7B1-47D3-B67F-A62EFF666E3E}">
          <x14:id>{DA7ABA51-AAAA-BBBB-0002-000000000002}</x14:id>
        </ext>
      </extLst>
    </cfRule>
  </conditionalFormatting>
  <conditionalFormatting sqref="D11">
    <cfRule type="cellIs" dxfId="43" priority="12" stopIfTrue="1" operator="equal">
      <formula>0</formula>
    </cfRule>
  </conditionalFormatting>
  <conditionalFormatting sqref="D12:D15">
    <cfRule type="cellIs" dxfId="42" priority="14" stopIfTrue="1" operator="equal">
      <formula>0</formula>
    </cfRule>
  </conditionalFormatting>
  <conditionalFormatting sqref="D16">
    <cfRule type="cellIs" dxfId="41" priority="13" stopIfTrue="1" operator="equal">
      <formula>0</formula>
    </cfRule>
  </conditionalFormatting>
  <conditionalFormatting sqref="D19:D100">
    <cfRule type="cellIs" dxfId="40" priority="48" operator="equal">
      <formula>"R"</formula>
    </cfRule>
  </conditionalFormatting>
  <conditionalFormatting sqref="D2">
    <cfRule type="cellIs" dxfId="39" priority="8" operator="equal">
      <formula>0</formula>
    </cfRule>
  </conditionalFormatting>
  <conditionalFormatting sqref="D3:D4">
    <cfRule type="cellIs" dxfId="38" priority="9" operator="equal">
      <formula>0</formula>
    </cfRule>
  </conditionalFormatting>
  <conditionalFormatting sqref="D6:D10">
    <cfRule type="cellIs" dxfId="37" priority="10" stopIfTrue="1" operator="equal">
      <formula>0</formula>
    </cfRule>
    <cfRule type="dataBar" priority="11">
      <dataBar>
        <cfvo type="min"/>
        <cfvo type="max"/>
        <color rgb="FF00CCCC"/>
      </dataBar>
      <extLst>
        <ext xmlns:x14="http://schemas.microsoft.com/office/spreadsheetml/2009/9/main" uri="{B025F937-C7B1-47D3-B67F-A62EFF666E3E}">
          <x14:id>{DA7ABA51-AAAA-BBBB-0002-000000000003}</x14:id>
        </ext>
      </extLst>
    </cfRule>
  </conditionalFormatting>
  <conditionalFormatting sqref="E11">
    <cfRule type="cellIs" dxfId="36" priority="19" stopIfTrue="1" operator="equal">
      <formula>0</formula>
    </cfRule>
  </conditionalFormatting>
  <conditionalFormatting sqref="E12:E15">
    <cfRule type="cellIs" dxfId="35" priority="21" stopIfTrue="1" operator="equal">
      <formula>0</formula>
    </cfRule>
  </conditionalFormatting>
  <conditionalFormatting sqref="E16">
    <cfRule type="cellIs" dxfId="34" priority="20" stopIfTrue="1" operator="equal">
      <formula>0</formula>
    </cfRule>
  </conditionalFormatting>
  <conditionalFormatting sqref="E19:F100">
    <cfRule type="cellIs" dxfId="33" priority="49" operator="equal">
      <formula>"A"</formula>
    </cfRule>
    <cfRule type="cellIs" dxfId="32" priority="50" operator="equal">
      <formula>"B"</formula>
    </cfRule>
    <cfRule type="cellIs" dxfId="31" priority="51" operator="equal">
      <formula>"C"</formula>
    </cfRule>
    <cfRule type="cellIs" dxfId="30" priority="52" operator="equal">
      <formula>"D"</formula>
    </cfRule>
    <cfRule type="cellIs" dxfId="29" priority="53" operator="equal">
      <formula>"E"</formula>
    </cfRule>
  </conditionalFormatting>
  <conditionalFormatting sqref="E2">
    <cfRule type="cellIs" dxfId="28" priority="15" operator="equal">
      <formula>0</formula>
    </cfRule>
  </conditionalFormatting>
  <conditionalFormatting sqref="E3:E4">
    <cfRule type="cellIs" dxfId="27" priority="16" operator="equal">
      <formula>0</formula>
    </cfRule>
  </conditionalFormatting>
  <conditionalFormatting sqref="E6:E10">
    <cfRule type="cellIs" dxfId="26" priority="17" stopIfTrue="1" operator="equal">
      <formula>0</formula>
    </cfRule>
    <cfRule type="dataBar" priority="18">
      <dataBar>
        <cfvo type="min"/>
        <cfvo type="max"/>
        <color rgb="FFFF00FF"/>
      </dataBar>
      <extLst>
        <ext xmlns:x14="http://schemas.microsoft.com/office/spreadsheetml/2009/9/main" uri="{B025F937-C7B1-47D3-B67F-A62EFF666E3E}">
          <x14:id>{DA7ABA51-AAAA-BBBB-0002-000000000004}</x14:id>
        </ext>
      </extLst>
    </cfRule>
  </conditionalFormatting>
  <conditionalFormatting sqref="F11">
    <cfRule type="cellIs" dxfId="25" priority="27" stopIfTrue="1" operator="equal">
      <formula>0</formula>
    </cfRule>
  </conditionalFormatting>
  <conditionalFormatting sqref="F12:F15">
    <cfRule type="cellIs" dxfId="24" priority="29" stopIfTrue="1" operator="equal">
      <formula>0</formula>
    </cfRule>
  </conditionalFormatting>
  <conditionalFormatting sqref="F16">
    <cfRule type="cellIs" dxfId="23" priority="28" stopIfTrue="1" operator="equal">
      <formula>0</formula>
    </cfRule>
  </conditionalFormatting>
  <conditionalFormatting sqref="F2">
    <cfRule type="cellIs" dxfId="22" priority="23" operator="equal">
      <formula>0</formula>
    </cfRule>
  </conditionalFormatting>
  <conditionalFormatting sqref="F3:F4">
    <cfRule type="cellIs" dxfId="21" priority="24" operator="equal">
      <formula>0</formula>
    </cfRule>
  </conditionalFormatting>
  <conditionalFormatting sqref="F6:F10">
    <cfRule type="cellIs" dxfId="20" priority="25" stopIfTrue="1" operator="equal">
      <formula>0</formula>
    </cfRule>
    <cfRule type="dataBar" priority="26">
      <dataBar>
        <cfvo type="min"/>
        <cfvo type="max"/>
        <color rgb="FF999999"/>
      </dataBar>
      <extLst>
        <ext xmlns:x14="http://schemas.microsoft.com/office/spreadsheetml/2009/9/main" uri="{B025F937-C7B1-47D3-B67F-A62EFF666E3E}">
          <x14:id>{DA7ABA51-AAAA-BBBB-0002-000000000005}</x14:id>
        </ext>
      </extLst>
    </cfRule>
  </conditionalFormatting>
  <conditionalFormatting sqref="G11">
    <cfRule type="cellIs" dxfId="19" priority="34" stopIfTrue="1" operator="equal">
      <formula>0</formula>
    </cfRule>
  </conditionalFormatting>
  <conditionalFormatting sqref="G12:G15">
    <cfRule type="cellIs" dxfId="18" priority="36" stopIfTrue="1" operator="equal">
      <formula>0</formula>
    </cfRule>
  </conditionalFormatting>
  <conditionalFormatting sqref="G16">
    <cfRule type="cellIs" dxfId="17" priority="35" stopIfTrue="1" operator="equal">
      <formula>0</formula>
    </cfRule>
  </conditionalFormatting>
  <conditionalFormatting sqref="G19:G100">
    <cfRule type="cellIs" dxfId="16" priority="57" operator="equal">
      <formula>1</formula>
    </cfRule>
    <cfRule type="cellIs" dxfId="15" priority="59" operator="equal">
      <formula>2</formula>
    </cfRule>
    <cfRule type="cellIs" dxfId="14" priority="61" operator="equal">
      <formula>3</formula>
    </cfRule>
    <cfRule type="cellIs" dxfId="13" priority="63" operator="equal">
      <formula>"NA"</formula>
    </cfRule>
    <cfRule type="cellIs" dxfId="12" priority="64" operator="equal">
      <formula>""</formula>
    </cfRule>
  </conditionalFormatting>
  <conditionalFormatting sqref="G2">
    <cfRule type="cellIs" dxfId="11" priority="30" operator="equal">
      <formula>0</formula>
    </cfRule>
  </conditionalFormatting>
  <conditionalFormatting sqref="G3:G4">
    <cfRule type="cellIs" dxfId="10" priority="31" operator="equal">
      <formula>0</formula>
    </cfRule>
  </conditionalFormatting>
  <conditionalFormatting sqref="G6:G10">
    <cfRule type="cellIs" dxfId="9" priority="32" stopIfTrue="1" operator="equal">
      <formula>0</formula>
    </cfRule>
    <cfRule type="dataBar" priority="33">
      <dataBar>
        <cfvo type="min"/>
        <cfvo type="max"/>
        <color rgb="FFCCCC99"/>
      </dataBar>
      <extLst>
        <ext xmlns:x14="http://schemas.microsoft.com/office/spreadsheetml/2009/9/main" uri="{B025F937-C7B1-47D3-B67F-A62EFF666E3E}">
          <x14:id>{DA7ABA51-AAAA-BBBB-0002-000000000006}</x14:id>
        </ext>
      </extLst>
    </cfRule>
  </conditionalFormatting>
  <conditionalFormatting sqref="H11">
    <cfRule type="cellIs" dxfId="8" priority="41" stopIfTrue="1" operator="equal">
      <formula>0</formula>
    </cfRule>
  </conditionalFormatting>
  <conditionalFormatting sqref="H12:H15">
    <cfRule type="cellIs" dxfId="7" priority="43" stopIfTrue="1" operator="equal">
      <formula>0</formula>
    </cfRule>
  </conditionalFormatting>
  <conditionalFormatting sqref="H16">
    <cfRule type="cellIs" dxfId="6" priority="42" stopIfTrue="1" operator="equal">
      <formula>0</formula>
    </cfRule>
  </conditionalFormatting>
  <conditionalFormatting sqref="H2">
    <cfRule type="cellIs" dxfId="5" priority="37" operator="equal">
      <formula>0</formula>
    </cfRule>
  </conditionalFormatting>
  <conditionalFormatting sqref="H3:H4">
    <cfRule type="cellIs" dxfId="4" priority="38" operator="equal">
      <formula>0</formula>
    </cfRule>
  </conditionalFormatting>
  <conditionalFormatting sqref="H6:H10">
    <cfRule type="cellIs" dxfId="3" priority="39" stopIfTrue="1" operator="equal">
      <formula>0</formula>
    </cfRule>
    <cfRule type="dataBar" priority="40">
      <dataBar>
        <cfvo type="min"/>
        <cfvo type="max"/>
        <color rgb="FF669999"/>
      </dataBar>
      <extLst>
        <ext xmlns:x14="http://schemas.microsoft.com/office/spreadsheetml/2009/9/main" uri="{B025F937-C7B1-47D3-B67F-A62EFF666E3E}">
          <x14:id>{DA7ABA51-AAAA-BBBB-0002-000000000007}</x14:id>
        </ext>
      </extLst>
    </cfRule>
  </conditionalFormatting>
  <conditionalFormatting sqref="I19:J100">
    <cfRule type="cellIs" dxfId="2" priority="65" operator="equal">
      <formula>1</formula>
    </cfRule>
  </conditionalFormatting>
  <conditionalFormatting sqref="K19:L100">
    <cfRule type="cellIs" dxfId="1" priority="66" operator="notEqual">
      <formula>""</formula>
    </cfRule>
  </conditionalFormatting>
  <conditionalFormatting sqref="M19:M100">
    <cfRule type="cellIs" dxfId="0" priority="67" operator="notEqual">
      <formula>""</formula>
    </cfRule>
  </conditionalFormatting>
  <dataValidations count="5">
    <dataValidation type="list" allowBlank="1" showInputMessage="1" showErrorMessage="1" sqref="C19:C100">
      <formula1>$B$3:$B$4</formula1>
    </dataValidation>
    <dataValidation type="list" allowBlank="1" showInputMessage="1" showErrorMessage="1" sqref="D19:D100">
      <formula1>$B$11</formula1>
    </dataValidation>
    <dataValidation type="list" allowBlank="1" showInputMessage="1" showErrorMessage="1" sqref="E19:F100">
      <formula1>$B$6:$B$10</formula1>
    </dataValidation>
    <dataValidation type="list" allowBlank="1" showInputMessage="1" showErrorMessage="1" sqref="G19:G100">
      <formula1>$C$1:$F$1</formula1>
    </dataValidation>
    <dataValidation type="whole" operator="equal" allowBlank="1" showInputMessage="1" showErrorMessage="1" sqref="M19:M100 I19:K100">
      <formula1>1</formula1>
    </dataValidation>
  </dataValidations>
  <printOptions horizontalCentered="1"/>
  <pageMargins left="0.4" right="0.4" top="0.4" bottom="0.4" header="0" footer="0"/>
  <pageSetup paperSize="9" scale="95" fitToHeight="0" orientation="landscape" r:id="rId1"/>
  <rowBreaks count="4" manualBreakCount="4">
    <brk id="17" max="16383" man="1"/>
    <brk id="45" max="16383" man="1"/>
    <brk id="73" max="13" man="1"/>
    <brk id="100" max="16383" man="1"/>
  </rowBreaks>
  <colBreaks count="1" manualBreakCount="1">
    <brk id="14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2-000000000001}">
            <x14:dataBar minLength="0" maxLength="100" border="1" negativeBarBorderColorSameAsPositive="0" axisPosition="none">
              <x14:cfvo type="num">
                <xm:f>-2</xm:f>
              </x14:cfvo>
              <x14:cfvo type="num">
                <xm:f>102</xm:f>
              </x14:cfvo>
              <x14:borderColor rgb="FF990099"/>
              <x14:negativeFillColor rgb="FFFF0000"/>
              <x14:negativeBorderColor rgb="FFFF0000"/>
            </x14:dataBar>
          </x14:cfRule>
          <xm:sqref>C5:H5</xm:sqref>
        </x14:conditionalFormatting>
        <x14:conditionalFormatting xmlns:xm="http://schemas.microsoft.com/office/excel/2006/main">
          <x14:cfRule type="dataBar" id="{DA7ABA51-AAAA-BBBB-0002-000000000002}">
            <x14:dataBar minLength="0" maxLength="100" border="1" gradient="0" negativeBarBorderColorSameAsPositive="0" axisPosition="none">
              <x14:cfvo type="autoMin"/>
              <x14:cfvo type="autoMax"/>
              <x14:borderColor rgb="FF00CC33"/>
              <x14:negativeFillColor rgb="FFFF0000"/>
              <x14:negativeBorderColor rgb="FFFF0000"/>
            </x14:dataBar>
          </x14:cfRule>
          <xm:sqref>C6:C10</xm:sqref>
        </x14:conditionalFormatting>
        <x14:conditionalFormatting xmlns:xm="http://schemas.microsoft.com/office/excel/2006/main">
          <x14:cfRule type="dataBar" id="{DA7ABA51-AAAA-BBBB-0002-000000000003}">
            <x14:dataBar minLength="0" maxLength="100" border="1" gradient="0" negativeBarBorderColorSameAsPositive="0" axisPosition="none">
              <x14:cfvo type="autoMin"/>
              <x14:cfvo type="autoMax"/>
              <x14:borderColor rgb="FF00CCCC"/>
              <x14:negativeFillColor rgb="FFFF0000"/>
              <x14:negativeBorderColor rgb="FFFF0000"/>
            </x14:dataBar>
          </x14:cfRule>
          <xm:sqref>D6:D10</xm:sqref>
        </x14:conditionalFormatting>
        <x14:conditionalFormatting xmlns:xm="http://schemas.microsoft.com/office/excel/2006/main">
          <x14:cfRule type="dataBar" id="{DA7ABA51-AAAA-BBBB-0002-000000000004}">
            <x14:dataBar minLength="0" maxLength="100" border="1" gradient="0" negativeBarBorderColorSameAsPositive="0" axisPosition="none">
              <x14:cfvo type="autoMin"/>
              <x14:cfvo type="autoMax"/>
              <x14:borderColor rgb="FFFF00FF"/>
              <x14:negativeFillColor rgb="FFFF0000"/>
              <x14:negativeBorderColor rgb="FFFF0000"/>
            </x14:dataBar>
          </x14:cfRule>
          <xm:sqref>E6:E10</xm:sqref>
        </x14:conditionalFormatting>
        <x14:conditionalFormatting xmlns:xm="http://schemas.microsoft.com/office/excel/2006/main">
          <x14:cfRule type="dataBar" id="{DA7ABA51-AAAA-BBBB-0002-000000000005}">
            <x14:dataBar minLength="0" maxLength="100" border="1" gradient="0" negativeBarBorderColorSameAsPositive="0" axisPosition="none">
              <x14:cfvo type="autoMin"/>
              <x14:cfvo type="autoMax"/>
              <x14:borderColor rgb="FF999999"/>
              <x14:negativeFillColor rgb="FFFF0000"/>
              <x14:negativeBorderColor rgb="FFFF0000"/>
            </x14:dataBar>
          </x14:cfRule>
          <xm:sqref>F6:F10</xm:sqref>
        </x14:conditionalFormatting>
        <x14:conditionalFormatting xmlns:xm="http://schemas.microsoft.com/office/excel/2006/main">
          <x14:cfRule type="dataBar" id="{DA7ABA51-AAAA-BBBB-0002-000000000006}">
            <x14:dataBar minLength="0" maxLength="100" border="1" gradient="0" negativeBarBorderColorSameAsPositive="0" axisPosition="none">
              <x14:cfvo type="autoMin"/>
              <x14:cfvo type="autoMax"/>
              <x14:borderColor rgb="FFCCCC99"/>
              <x14:negativeFillColor rgb="FFFF0000"/>
              <x14:negativeBorderColor rgb="FFFF0000"/>
            </x14:dataBar>
          </x14:cfRule>
          <xm:sqref>G6:G10</xm:sqref>
        </x14:conditionalFormatting>
        <x14:conditionalFormatting xmlns:xm="http://schemas.microsoft.com/office/excel/2006/main">
          <x14:cfRule type="dataBar" id="{DA7ABA51-AAAA-BBBB-0002-000000000007}">
            <x14:dataBar minLength="0" maxLength="100" border="1" gradient="0" negativeBarBorderColorSameAsPositive="0" axisPosition="none">
              <x14:cfvo type="autoMin"/>
              <x14:cfvo type="autoMax"/>
              <x14:borderColor rgb="FF669999"/>
              <x14:negativeFillColor rgb="FFFF0000"/>
              <x14:negativeBorderColor rgb="FFFF0000"/>
            </x14:dataBar>
          </x14:cfRule>
          <xm:sqref>H6:H10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15</vt:i4>
      </vt:variant>
    </vt:vector>
  </HeadingPairs>
  <TitlesOfParts>
    <vt:vector size="17" baseType="lpstr">
      <vt:lpstr>Patates</vt:lpstr>
      <vt:lpstr>3e 2018-19</vt:lpstr>
      <vt:lpstr>_All2</vt:lpstr>
      <vt:lpstr>_Classe</vt:lpstr>
      <vt:lpstr>_Comportement</vt:lpstr>
      <vt:lpstr>_DivOrig</vt:lpstr>
      <vt:lpstr>_Esp2</vt:lpstr>
      <vt:lpstr>_Latin</vt:lpstr>
      <vt:lpstr>_Niveau</vt:lpstr>
      <vt:lpstr>_Nom</vt:lpstr>
      <vt:lpstr>_Prénom</vt:lpstr>
      <vt:lpstr>_Retard</vt:lpstr>
      <vt:lpstr>_Sexe</vt:lpstr>
      <vt:lpstr>_Sport</vt:lpstr>
      <vt:lpstr>'3e 2018-19'!Impression_des_titres</vt:lpstr>
      <vt:lpstr>'3e 2018-19'!Zone_d_impression</vt:lpstr>
      <vt:lpstr>Patates!Zone_d_impression</vt:lpstr>
    </vt:vector>
  </TitlesOfParts>
  <Company>Lycée Marie de Champagne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Répartition 3e</dc:title>
  <dc:subject>Rentrée R18</dc:subject>
  <dc:creator>Jérôme BARTH</dc:creator>
  <dc:description>Créé avec Python and XlsxWriter</dc:description>
  <cp:lastModifiedBy>Jérôme BARTH</cp:lastModifiedBy>
  <dcterms:created xsi:type="dcterms:W3CDTF">2018-05-01T18:39:31Z</dcterms:created>
  <dcterms:modified xsi:type="dcterms:W3CDTF">2018-05-01T19:40:35Z</dcterms:modified>
</cp:coreProperties>
</file>