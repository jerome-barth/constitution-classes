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atates" sheetId="1" r:id="rId1"/>
    <sheet name="3e 2018-19" sheetId="2" r:id="rId2"/>
  </sheets>
  <definedNames>
    <definedName name="_All2">'3e 2018-19'!$I$20:$I$149</definedName>
    <definedName name="_Classe">'3e 2018-19'!$G$20:$G$149</definedName>
    <definedName name="_Comportement">'3e 2018-19'!$F$20:$F$149</definedName>
    <definedName name="_DivOrig">'3e 2018-19'!$H$20:$H$149</definedName>
    <definedName name="_Esp2">'3e 2018-19'!$K$20:$K$149</definedName>
    <definedName name="_xlnm._FilterDatabase" localSheetId="1" hidden="1">'3e 2018-19'!$A$19:$O$149</definedName>
    <definedName name="_Ita2">'3e 2018-19'!$J$20:$J$149</definedName>
    <definedName name="_Latin">'3e 2018-19'!$N$20:$N$149</definedName>
    <definedName name="_Niveau">'3e 2018-19'!$E$20:$E$149</definedName>
    <definedName name="_Nom">'3e 2018-19'!$A$20:$A$149</definedName>
    <definedName name="_Prénom">'3e 2018-19'!$B$20:$B$149</definedName>
    <definedName name="_Retard">'3e 2018-19'!$D$20:$D$149</definedName>
    <definedName name="_Sexe">'3e 2018-19'!$C$20:$C$149</definedName>
    <definedName name="_Sport">'3e 2018-19'!$L$20:$L$149</definedName>
  </definedNames>
  <calcPr calcId="124519" fullCalcOnLoad="1"/>
</workbook>
</file>

<file path=xl/sharedStrings.xml><?xml version="1.0" encoding="utf-8"?>
<sst xmlns="http://schemas.openxmlformats.org/spreadsheetml/2006/main" count="1139" uniqueCount="145">
  <si>
    <t>R18</t>
  </si>
  <si>
    <t>Collège</t>
  </si>
  <si>
    <t>Marie Curie</t>
  </si>
  <si>
    <t>Troyes</t>
  </si>
  <si>
    <t>3e</t>
  </si>
  <si>
    <t>Effectif</t>
  </si>
  <si>
    <t>F</t>
  </si>
  <si>
    <t>G</t>
  </si>
  <si>
    <t>%F</t>
  </si>
  <si>
    <t>A</t>
  </si>
  <si>
    <t>B</t>
  </si>
  <si>
    <t>C</t>
  </si>
  <si>
    <t>D</t>
  </si>
  <si>
    <t>E</t>
  </si>
  <si>
    <t>R</t>
  </si>
  <si>
    <t>Sport</t>
  </si>
  <si>
    <t>Latin</t>
  </si>
  <si>
    <t>All2</t>
  </si>
  <si>
    <t>Ita2</t>
  </si>
  <si>
    <t>Esp2</t>
  </si>
  <si>
    <t>Sans LV2</t>
  </si>
  <si>
    <t>NA</t>
  </si>
  <si>
    <t>Reste</t>
  </si>
  <si>
    <t>Totaux</t>
  </si>
  <si>
    <t>Nom</t>
  </si>
  <si>
    <t>Prénom</t>
  </si>
  <si>
    <t>Sexe</t>
  </si>
  <si>
    <t>Retard</t>
  </si>
  <si>
    <t>Niv</t>
  </si>
  <si>
    <t>Comp</t>
  </si>
  <si>
    <t>Cls orig</t>
  </si>
  <si>
    <t>Section</t>
  </si>
  <si>
    <t>Observations</t>
  </si>
  <si>
    <t>FERREIRA</t>
  </si>
  <si>
    <t>Rachida</t>
  </si>
  <si>
    <t>4e7</t>
  </si>
  <si>
    <t>Très fort</t>
  </si>
  <si>
    <t>CROZAT</t>
  </si>
  <si>
    <t>Sandra</t>
  </si>
  <si>
    <t>4e6</t>
  </si>
  <si>
    <t>Bon en sport</t>
  </si>
  <si>
    <t>RIVIÈRE</t>
  </si>
  <si>
    <t>Frédéric</t>
  </si>
  <si>
    <t>4e5</t>
  </si>
  <si>
    <t>GYMNASTIQUE</t>
  </si>
  <si>
    <t>Insupportable</t>
  </si>
  <si>
    <t>ARNON</t>
  </si>
  <si>
    <t>Nicolas</t>
  </si>
  <si>
    <t>Nv3e</t>
  </si>
  <si>
    <t>Bon en français</t>
  </si>
  <si>
    <t>PANTALEON</t>
  </si>
  <si>
    <t>Isabelle</t>
  </si>
  <si>
    <t>Bon en maths</t>
  </si>
  <si>
    <t>CONVERT</t>
  </si>
  <si>
    <t>Daniel</t>
  </si>
  <si>
    <t>4e8</t>
  </si>
  <si>
    <t>LABILLE</t>
  </si>
  <si>
    <t>Marie</t>
  </si>
  <si>
    <t>4e2</t>
  </si>
  <si>
    <t>Pénible</t>
  </si>
  <si>
    <t>SIMON</t>
  </si>
  <si>
    <t>Aline</t>
  </si>
  <si>
    <t>BIANCHI</t>
  </si>
  <si>
    <t>Émilie</t>
  </si>
  <si>
    <t>4e1</t>
  </si>
  <si>
    <t>HAUMESSER</t>
  </si>
  <si>
    <t>VANHAREN</t>
  </si>
  <si>
    <t>Anne</t>
  </si>
  <si>
    <t>Peste</t>
  </si>
  <si>
    <t>BERTHEUX</t>
  </si>
  <si>
    <t>Clothilde</t>
  </si>
  <si>
    <t>CRÉVOULIN</t>
  </si>
  <si>
    <t>Séverine</t>
  </si>
  <si>
    <t>FOOTBALL</t>
  </si>
  <si>
    <t>POCHOT</t>
  </si>
  <si>
    <t>BASKET</t>
  </si>
  <si>
    <t>Florence</t>
  </si>
  <si>
    <t>Teigne</t>
  </si>
  <si>
    <t>CARDONNE</t>
  </si>
  <si>
    <t>Alexandre</t>
  </si>
  <si>
    <t>DUS</t>
  </si>
  <si>
    <t>POINTU</t>
  </si>
  <si>
    <t>Romain</t>
  </si>
  <si>
    <t>Franck</t>
  </si>
  <si>
    <t>CANDERAN</t>
  </si>
  <si>
    <t>Carole</t>
  </si>
  <si>
    <t>GOTTRANT</t>
  </si>
  <si>
    <t>Jérôme</t>
  </si>
  <si>
    <t>4e4</t>
  </si>
  <si>
    <t>BARTH</t>
  </si>
  <si>
    <t>Mathieu</t>
  </si>
  <si>
    <t>TRINQUET</t>
  </si>
  <si>
    <t>Jean-Pierre</t>
  </si>
  <si>
    <t>Céline</t>
  </si>
  <si>
    <t>Marie-Lourdes</t>
  </si>
  <si>
    <t>REGNIER</t>
  </si>
  <si>
    <t>Julie</t>
  </si>
  <si>
    <t>GARNIER</t>
  </si>
  <si>
    <t>HALATA</t>
  </si>
  <si>
    <t>Mohammed</t>
  </si>
  <si>
    <t>4e3</t>
  </si>
  <si>
    <t>DEHRI</t>
  </si>
  <si>
    <t>Dominique</t>
  </si>
  <si>
    <t>ARMATA</t>
  </si>
  <si>
    <t>Katia</t>
  </si>
  <si>
    <t>SERVAS</t>
  </si>
  <si>
    <t>DE MARCH</t>
  </si>
  <si>
    <t>AUNOS</t>
  </si>
  <si>
    <t>Stéphane</t>
  </si>
  <si>
    <t>RONDEAU</t>
  </si>
  <si>
    <t>Cécile</t>
  </si>
  <si>
    <t>LOISEAU</t>
  </si>
  <si>
    <t>DEFRANCE</t>
  </si>
  <si>
    <t>Virginie</t>
  </si>
  <si>
    <t>ATIFI</t>
  </si>
  <si>
    <t>Marie-Louis</t>
  </si>
  <si>
    <t>Cédric</t>
  </si>
  <si>
    <t>CLAUSSE</t>
  </si>
  <si>
    <t>PIERRE</t>
  </si>
  <si>
    <t>LLATY</t>
  </si>
  <si>
    <t>HURPOIL</t>
  </si>
  <si>
    <t>RUBASZEWSKI</t>
  </si>
  <si>
    <t>Guillaume</t>
  </si>
  <si>
    <t>Sandrine</t>
  </si>
  <si>
    <t>Nathalie</t>
  </si>
  <si>
    <t>Nelly</t>
  </si>
  <si>
    <t>Évelyne</t>
  </si>
  <si>
    <t>WOJSZVZYK</t>
  </si>
  <si>
    <t>Mangni</t>
  </si>
  <si>
    <t>Didier</t>
  </si>
  <si>
    <t>NOEL</t>
  </si>
  <si>
    <t>Cassandre</t>
  </si>
  <si>
    <t>PRÉVOT</t>
  </si>
  <si>
    <t>TILLIET</t>
  </si>
  <si>
    <t>SIMONNOT</t>
  </si>
  <si>
    <t>BELNOT</t>
  </si>
  <si>
    <t>ROUVROY</t>
  </si>
  <si>
    <t>Collège Marie Curie - Troyes - Rentrée R18</t>
  </si>
  <si>
    <t>Placés</t>
  </si>
  <si>
    <t>Prévus</t>
  </si>
  <si>
    <t>Liste</t>
  </si>
  <si>
    <t>TOTAUX</t>
  </si>
  <si>
    <t>Sans opt</t>
  </si>
  <si>
    <t>Sp-lat</t>
  </si>
  <si>
    <t>Effectifs</t>
  </si>
</sst>
</file>

<file path=xl/styles.xml><?xml version="1.0" encoding="utf-8"?>
<styleSheet xmlns="http://schemas.openxmlformats.org/spreadsheetml/2006/main">
  <fonts count="25">
    <font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6"/>
      <color rgb="FF3333CC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3333CC"/>
      <name val="Calibri"/>
      <family val="2"/>
      <scheme val="minor"/>
    </font>
    <font>
      <b/>
      <sz val="10"/>
      <color rgb="FF3333CC"/>
      <name val="Calibri"/>
      <family val="2"/>
      <scheme val="minor"/>
    </font>
    <font>
      <b/>
      <sz val="11"/>
      <color rgb="FF990000"/>
      <name val="Calibri"/>
      <family val="2"/>
      <scheme val="minor"/>
    </font>
    <font>
      <b/>
      <sz val="11"/>
      <color rgb="FF3333CC"/>
      <name val="Calibri"/>
      <family val="2"/>
      <scheme val="minor"/>
    </font>
    <font>
      <sz val="11"/>
      <color rgb="FF990000"/>
      <name val="Calibri"/>
      <family val="2"/>
      <scheme val="minor"/>
    </font>
    <font>
      <b/>
      <sz val="11"/>
      <color rgb="FF0000CC"/>
      <name val="Calibri"/>
      <family val="2"/>
      <scheme val="minor"/>
    </font>
    <font>
      <b/>
      <sz val="11"/>
      <color rgb="FF990099"/>
      <name val="Calibri"/>
      <family val="2"/>
      <scheme val="minor"/>
    </font>
    <font>
      <b/>
      <sz val="11"/>
      <color rgb="FF003300"/>
      <name val="Calibri"/>
      <family val="2"/>
      <scheme val="minor"/>
    </font>
    <font>
      <b/>
      <sz val="11"/>
      <color rgb="FF333300"/>
      <name val="Calibri"/>
      <family val="2"/>
      <scheme val="minor"/>
    </font>
    <font>
      <b/>
      <sz val="11"/>
      <color rgb="FF330000"/>
      <name val="Calibri"/>
      <family val="2"/>
      <scheme val="minor"/>
    </font>
    <font>
      <b/>
      <sz val="11"/>
      <color rgb="FF333333"/>
      <name val="Calibri"/>
      <family val="2"/>
      <scheme val="minor"/>
    </font>
    <font>
      <b/>
      <sz val="11"/>
      <color rgb="FF000099"/>
      <name val="Calibri"/>
      <family val="2"/>
      <scheme val="minor"/>
    </font>
    <font>
      <b/>
      <sz val="11"/>
      <color rgb="FF330066"/>
      <name val="Calibri"/>
      <family val="2"/>
      <scheme val="minor"/>
    </font>
    <font>
      <b/>
      <sz val="11"/>
      <color rgb="FF000066"/>
      <name val="Calibri"/>
      <family val="2"/>
      <scheme val="minor"/>
    </font>
    <font>
      <sz val="11"/>
      <color rgb="FFFFFFFF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rgb="FF00CC33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99FFFF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99CCCC"/>
        <bgColor indexed="64"/>
      </patternFill>
    </fill>
    <fill>
      <patternFill patternType="solid">
        <fgColor rgb="FF6699CC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669999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CC99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99FF3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CC99FF"/>
        <bgColor indexed="64"/>
      </patternFill>
    </fill>
  </fills>
  <borders count="16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169"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7" borderId="1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2" fillId="12" borderId="1" xfId="0" applyFont="1" applyFill="1" applyBorder="1" applyAlignment="1">
      <alignment horizontal="center" vertical="center"/>
    </xf>
    <xf numFmtId="0" fontId="7" fillId="13" borderId="1" xfId="0" applyFont="1" applyFill="1" applyBorder="1" applyAlignment="1">
      <alignment horizontal="center" vertical="center"/>
    </xf>
    <xf numFmtId="0" fontId="8" fillId="14" borderId="1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9" fillId="3" borderId="3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9" fillId="4" borderId="3" xfId="0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center" vertical="center"/>
    </xf>
    <xf numFmtId="0" fontId="9" fillId="5" borderId="3" xfId="0" applyFont="1" applyFill="1" applyBorder="1" applyAlignment="1">
      <alignment horizontal="center" vertical="center"/>
    </xf>
    <xf numFmtId="0" fontId="9" fillId="6" borderId="2" xfId="0" applyFont="1" applyFill="1" applyBorder="1" applyAlignment="1">
      <alignment horizontal="center" vertical="center"/>
    </xf>
    <xf numFmtId="0" fontId="9" fillId="6" borderId="3" xfId="0" applyFont="1" applyFill="1" applyBorder="1" applyAlignment="1">
      <alignment horizontal="center" vertical="center"/>
    </xf>
    <xf numFmtId="0" fontId="9" fillId="15" borderId="1" xfId="0" applyFont="1" applyFill="1" applyBorder="1" applyAlignment="1">
      <alignment horizontal="center" vertical="center"/>
    </xf>
    <xf numFmtId="0" fontId="10" fillId="16" borderId="2" xfId="0" applyFont="1" applyFill="1" applyBorder="1" applyAlignment="1">
      <alignment horizontal="center" vertical="center"/>
    </xf>
    <xf numFmtId="0" fontId="10" fillId="16" borderId="4" xfId="0" applyFont="1" applyFill="1" applyBorder="1" applyAlignment="1">
      <alignment horizontal="center" vertical="center"/>
    </xf>
    <xf numFmtId="0" fontId="10" fillId="16" borderId="3" xfId="0" applyFont="1" applyFill="1" applyBorder="1" applyAlignment="1">
      <alignment horizontal="center" vertical="center"/>
    </xf>
    <xf numFmtId="0" fontId="0" fillId="17" borderId="5" xfId="0" applyFill="1" applyBorder="1" applyAlignment="1">
      <alignment horizontal="center" vertical="center"/>
    </xf>
    <xf numFmtId="0" fontId="3" fillId="8" borderId="6" xfId="0" applyFont="1" applyFill="1" applyBorder="1" applyAlignment="1">
      <alignment horizontal="center" vertical="center"/>
    </xf>
    <xf numFmtId="0" fontId="3" fillId="8" borderId="7" xfId="0" applyFont="1" applyFill="1" applyBorder="1" applyAlignment="1" applyProtection="1">
      <alignment horizontal="center" vertical="center"/>
      <protection locked="0"/>
    </xf>
    <xf numFmtId="0" fontId="3" fillId="9" borderId="6" xfId="0" applyFont="1" applyFill="1" applyBorder="1" applyAlignment="1">
      <alignment horizontal="center" vertical="center"/>
    </xf>
    <xf numFmtId="0" fontId="3" fillId="9" borderId="7" xfId="0" applyFont="1" applyFill="1" applyBorder="1" applyAlignment="1" applyProtection="1">
      <alignment horizontal="center" vertical="center"/>
      <protection locked="0"/>
    </xf>
    <xf numFmtId="0" fontId="3" fillId="10" borderId="6" xfId="0" applyFont="1" applyFill="1" applyBorder="1" applyAlignment="1">
      <alignment horizontal="center" vertical="center"/>
    </xf>
    <xf numFmtId="0" fontId="3" fillId="10" borderId="7" xfId="0" applyFont="1" applyFill="1" applyBorder="1" applyAlignment="1" applyProtection="1">
      <alignment horizontal="center" vertical="center"/>
      <protection locked="0"/>
    </xf>
    <xf numFmtId="0" fontId="3" fillId="6" borderId="6" xfId="0" applyFont="1" applyFill="1" applyBorder="1" applyAlignment="1">
      <alignment horizontal="center" vertical="center"/>
    </xf>
    <xf numFmtId="0" fontId="3" fillId="6" borderId="7" xfId="0" applyFont="1" applyFill="1" applyBorder="1" applyAlignment="1" applyProtection="1">
      <alignment horizontal="center" vertical="center"/>
      <protection locked="0"/>
    </xf>
    <xf numFmtId="0" fontId="3" fillId="11" borderId="6" xfId="0" applyFont="1" applyFill="1" applyBorder="1" applyAlignment="1">
      <alignment horizontal="center" vertical="center"/>
    </xf>
    <xf numFmtId="0" fontId="3" fillId="11" borderId="7" xfId="0" applyFont="1" applyFill="1" applyBorder="1" applyAlignment="1" applyProtection="1">
      <alignment horizontal="center" vertical="center"/>
      <protection locked="0"/>
    </xf>
    <xf numFmtId="0" fontId="3" fillId="12" borderId="8" xfId="0" applyFont="1" applyFill="1" applyBorder="1" applyAlignment="1">
      <alignment horizontal="center" vertical="center"/>
    </xf>
    <xf numFmtId="0" fontId="11" fillId="13" borderId="6" xfId="0" applyFont="1" applyFill="1" applyBorder="1" applyAlignment="1">
      <alignment horizontal="center" vertical="center"/>
    </xf>
    <xf numFmtId="0" fontId="11" fillId="13" borderId="9" xfId="0" applyFont="1" applyFill="1" applyBorder="1" applyAlignment="1">
      <alignment horizontal="center" vertical="center"/>
    </xf>
    <xf numFmtId="0" fontId="11" fillId="13" borderId="7" xfId="0" applyFont="1" applyFill="1" applyBorder="1" applyAlignment="1">
      <alignment horizontal="center" vertical="center"/>
    </xf>
    <xf numFmtId="0" fontId="3" fillId="8" borderId="10" xfId="0" applyFont="1" applyFill="1" applyBorder="1" applyAlignment="1">
      <alignment horizontal="center" vertical="center"/>
    </xf>
    <xf numFmtId="0" fontId="3" fillId="8" borderId="11" xfId="0" applyFont="1" applyFill="1" applyBorder="1" applyAlignment="1" applyProtection="1">
      <alignment horizontal="center" vertical="center"/>
      <protection locked="0"/>
    </xf>
    <xf numFmtId="0" fontId="3" fillId="9" borderId="10" xfId="0" applyFont="1" applyFill="1" applyBorder="1" applyAlignment="1">
      <alignment horizontal="center" vertical="center"/>
    </xf>
    <xf numFmtId="0" fontId="3" fillId="9" borderId="11" xfId="0" applyFont="1" applyFill="1" applyBorder="1" applyAlignment="1" applyProtection="1">
      <alignment horizontal="center" vertical="center"/>
      <protection locked="0"/>
    </xf>
    <xf numFmtId="0" fontId="3" fillId="10" borderId="10" xfId="0" applyFont="1" applyFill="1" applyBorder="1" applyAlignment="1">
      <alignment horizontal="center" vertical="center"/>
    </xf>
    <xf numFmtId="0" fontId="3" fillId="10" borderId="11" xfId="0" applyFont="1" applyFill="1" applyBorder="1" applyAlignment="1" applyProtection="1">
      <alignment horizontal="center" vertical="center"/>
      <protection locked="0"/>
    </xf>
    <xf numFmtId="0" fontId="3" fillId="6" borderId="10" xfId="0" applyFont="1" applyFill="1" applyBorder="1" applyAlignment="1">
      <alignment horizontal="center" vertical="center"/>
    </xf>
    <xf numFmtId="0" fontId="3" fillId="6" borderId="11" xfId="0" applyFont="1" applyFill="1" applyBorder="1" applyAlignment="1" applyProtection="1">
      <alignment horizontal="center" vertical="center"/>
      <protection locked="0"/>
    </xf>
    <xf numFmtId="0" fontId="3" fillId="11" borderId="10" xfId="0" applyFont="1" applyFill="1" applyBorder="1" applyAlignment="1">
      <alignment horizontal="center" vertical="center"/>
    </xf>
    <xf numFmtId="0" fontId="3" fillId="11" borderId="11" xfId="0" applyFont="1" applyFill="1" applyBorder="1" applyAlignment="1" applyProtection="1">
      <alignment horizontal="center" vertical="center"/>
      <protection locked="0"/>
    </xf>
    <xf numFmtId="0" fontId="3" fillId="12" borderId="5" xfId="0" applyFont="1" applyFill="1" applyBorder="1" applyAlignment="1">
      <alignment horizontal="center" vertical="center"/>
    </xf>
    <xf numFmtId="0" fontId="11" fillId="13" borderId="10" xfId="0" applyFont="1" applyFill="1" applyBorder="1" applyAlignment="1">
      <alignment horizontal="center" vertical="center"/>
    </xf>
    <xf numFmtId="0" fontId="11" fillId="13" borderId="0" xfId="0" applyFont="1" applyFill="1" applyAlignment="1">
      <alignment horizontal="center" vertical="center"/>
    </xf>
    <xf numFmtId="0" fontId="11" fillId="13" borderId="11" xfId="0" applyFont="1" applyFill="1" applyBorder="1" applyAlignment="1">
      <alignment horizontal="center" vertical="center"/>
    </xf>
    <xf numFmtId="0" fontId="3" fillId="8" borderId="12" xfId="0" applyFont="1" applyFill="1" applyBorder="1" applyAlignment="1">
      <alignment horizontal="center" vertical="center"/>
    </xf>
    <xf numFmtId="0" fontId="3" fillId="8" borderId="13" xfId="0" applyFont="1" applyFill="1" applyBorder="1" applyAlignment="1" applyProtection="1">
      <alignment horizontal="center" vertical="center"/>
      <protection locked="0"/>
    </xf>
    <xf numFmtId="0" fontId="3" fillId="9" borderId="12" xfId="0" applyFont="1" applyFill="1" applyBorder="1" applyAlignment="1">
      <alignment horizontal="center" vertical="center"/>
    </xf>
    <xf numFmtId="0" fontId="3" fillId="9" borderId="13" xfId="0" applyFont="1" applyFill="1" applyBorder="1" applyAlignment="1" applyProtection="1">
      <alignment horizontal="center" vertical="center"/>
      <protection locked="0"/>
    </xf>
    <xf numFmtId="0" fontId="3" fillId="10" borderId="12" xfId="0" applyFont="1" applyFill="1" applyBorder="1" applyAlignment="1">
      <alignment horizontal="center" vertical="center"/>
    </xf>
    <xf numFmtId="0" fontId="3" fillId="10" borderId="13" xfId="0" applyFont="1" applyFill="1" applyBorder="1" applyAlignment="1" applyProtection="1">
      <alignment horizontal="center" vertical="center"/>
      <protection locked="0"/>
    </xf>
    <xf numFmtId="0" fontId="3" fillId="6" borderId="12" xfId="0" applyFont="1" applyFill="1" applyBorder="1" applyAlignment="1">
      <alignment horizontal="center" vertical="center"/>
    </xf>
    <xf numFmtId="0" fontId="3" fillId="6" borderId="13" xfId="0" applyFont="1" applyFill="1" applyBorder="1" applyAlignment="1" applyProtection="1">
      <alignment horizontal="center" vertical="center"/>
      <protection locked="0"/>
    </xf>
    <xf numFmtId="0" fontId="3" fillId="11" borderId="12" xfId="0" applyFont="1" applyFill="1" applyBorder="1" applyAlignment="1">
      <alignment horizontal="center" vertical="center"/>
    </xf>
    <xf numFmtId="0" fontId="3" fillId="11" borderId="13" xfId="0" applyFont="1" applyFill="1" applyBorder="1" applyAlignment="1" applyProtection="1">
      <alignment horizontal="center" vertical="center"/>
      <protection locked="0"/>
    </xf>
    <xf numFmtId="0" fontId="3" fillId="12" borderId="14" xfId="0" applyFont="1" applyFill="1" applyBorder="1" applyAlignment="1">
      <alignment horizontal="center" vertical="center"/>
    </xf>
    <xf numFmtId="0" fontId="11" fillId="13" borderId="12" xfId="0" applyFont="1" applyFill="1" applyBorder="1" applyAlignment="1">
      <alignment horizontal="center" vertical="center"/>
    </xf>
    <xf numFmtId="0" fontId="11" fillId="13" borderId="15" xfId="0" applyFont="1" applyFill="1" applyBorder="1" applyAlignment="1">
      <alignment horizontal="center" vertical="center"/>
    </xf>
    <xf numFmtId="0" fontId="11" fillId="13" borderId="13" xfId="0" applyFont="1" applyFill="1" applyBorder="1" applyAlignment="1">
      <alignment horizontal="center" vertical="center"/>
    </xf>
    <xf numFmtId="0" fontId="0" fillId="17" borderId="14" xfId="0" applyFill="1" applyBorder="1" applyAlignment="1">
      <alignment horizontal="center" vertical="center"/>
    </xf>
    <xf numFmtId="0" fontId="9" fillId="14" borderId="1" xfId="0" applyFont="1" applyFill="1" applyBorder="1" applyAlignment="1">
      <alignment horizontal="center" vertical="center"/>
    </xf>
    <xf numFmtId="0" fontId="3" fillId="8" borderId="11" xfId="0" applyFont="1" applyFill="1" applyBorder="1" applyAlignment="1">
      <alignment horizontal="center" vertical="center"/>
    </xf>
    <xf numFmtId="0" fontId="3" fillId="9" borderId="11" xfId="0" applyFont="1" applyFill="1" applyBorder="1" applyAlignment="1">
      <alignment horizontal="center" vertical="center"/>
    </xf>
    <xf numFmtId="0" fontId="3" fillId="10" borderId="11" xfId="0" applyFont="1" applyFill="1" applyBorder="1" applyAlignment="1">
      <alignment horizontal="center" vertical="center"/>
    </xf>
    <xf numFmtId="0" fontId="3" fillId="6" borderId="11" xfId="0" applyFont="1" applyFill="1" applyBorder="1" applyAlignment="1">
      <alignment horizontal="center" vertical="center"/>
    </xf>
    <xf numFmtId="0" fontId="3" fillId="11" borderId="11" xfId="0" applyFont="1" applyFill="1" applyBorder="1" applyAlignment="1">
      <alignment horizontal="center" vertical="center"/>
    </xf>
    <xf numFmtId="0" fontId="3" fillId="8" borderId="13" xfId="0" applyFont="1" applyFill="1" applyBorder="1" applyAlignment="1">
      <alignment horizontal="center" vertical="center"/>
    </xf>
    <xf numFmtId="0" fontId="3" fillId="9" borderId="13" xfId="0" applyFont="1" applyFill="1" applyBorder="1" applyAlignment="1">
      <alignment horizontal="center" vertical="center"/>
    </xf>
    <xf numFmtId="0" fontId="3" fillId="10" borderId="13" xfId="0" applyFont="1" applyFill="1" applyBorder="1" applyAlignment="1">
      <alignment horizontal="center" vertical="center"/>
    </xf>
    <xf numFmtId="0" fontId="3" fillId="6" borderId="13" xfId="0" applyFont="1" applyFill="1" applyBorder="1" applyAlignment="1">
      <alignment horizontal="center" vertical="center"/>
    </xf>
    <xf numFmtId="0" fontId="3" fillId="11" borderId="13" xfId="0" applyFont="1" applyFill="1" applyBorder="1" applyAlignment="1">
      <alignment horizontal="center" vertical="center"/>
    </xf>
    <xf numFmtId="0" fontId="0" fillId="17" borderId="8" xfId="0" applyFill="1" applyBorder="1" applyAlignment="1">
      <alignment horizontal="center" vertical="center"/>
    </xf>
    <xf numFmtId="0" fontId="3" fillId="8" borderId="7" xfId="0" applyFont="1" applyFill="1" applyBorder="1" applyAlignment="1">
      <alignment horizontal="center" vertical="center"/>
    </xf>
    <xf numFmtId="0" fontId="3" fillId="9" borderId="7" xfId="0" applyFont="1" applyFill="1" applyBorder="1" applyAlignment="1">
      <alignment horizontal="center" vertical="center"/>
    </xf>
    <xf numFmtId="0" fontId="3" fillId="10" borderId="7" xfId="0" applyFont="1" applyFill="1" applyBorder="1" applyAlignment="1">
      <alignment horizontal="center" vertical="center"/>
    </xf>
    <xf numFmtId="0" fontId="3" fillId="6" borderId="7" xfId="0" applyFont="1" applyFill="1" applyBorder="1" applyAlignment="1">
      <alignment horizontal="center" vertical="center"/>
    </xf>
    <xf numFmtId="0" fontId="3" fillId="11" borderId="7" xfId="0" applyFont="1" applyFill="1" applyBorder="1" applyAlignment="1">
      <alignment horizontal="center" vertical="center"/>
    </xf>
    <xf numFmtId="0" fontId="2" fillId="8" borderId="2" xfId="0" applyFont="1" applyFill="1" applyBorder="1" applyAlignment="1">
      <alignment horizontal="center" vertical="center"/>
    </xf>
    <xf numFmtId="0" fontId="2" fillId="9" borderId="4" xfId="0" applyFont="1" applyFill="1" applyBorder="1" applyAlignment="1">
      <alignment horizontal="center" vertical="center"/>
    </xf>
    <xf numFmtId="0" fontId="2" fillId="10" borderId="4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0" fontId="2" fillId="11" borderId="3" xfId="0" applyFont="1" applyFill="1" applyBorder="1" applyAlignment="1">
      <alignment horizontal="center" vertical="center"/>
    </xf>
    <xf numFmtId="0" fontId="12" fillId="18" borderId="1" xfId="0" applyFont="1" applyFill="1" applyBorder="1" applyAlignment="1">
      <alignment horizontal="center" vertical="center"/>
    </xf>
    <xf numFmtId="0" fontId="13" fillId="13" borderId="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13" borderId="1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/>
    </xf>
    <xf numFmtId="0" fontId="8" fillId="6" borderId="3" xfId="0" applyFont="1" applyFill="1" applyBorder="1" applyAlignment="1">
      <alignment horizontal="center" vertical="center"/>
    </xf>
    <xf numFmtId="0" fontId="8" fillId="15" borderId="1" xfId="0" applyFont="1" applyFill="1" applyBorder="1" applyAlignment="1">
      <alignment horizontal="center" vertical="center"/>
    </xf>
    <xf numFmtId="0" fontId="12" fillId="19" borderId="1" xfId="0" applyFont="1" applyFill="1" applyBorder="1" applyAlignment="1">
      <alignment horizontal="center" vertical="center"/>
    </xf>
    <xf numFmtId="0" fontId="13" fillId="16" borderId="1" xfId="0" applyFont="1" applyFill="1" applyBorder="1" applyAlignment="1">
      <alignment horizontal="center" vertical="center"/>
    </xf>
    <xf numFmtId="0" fontId="12" fillId="20" borderId="8" xfId="0" applyFont="1" applyFill="1" applyBorder="1" applyAlignment="1">
      <alignment horizontal="center" vertical="center"/>
    </xf>
    <xf numFmtId="0" fontId="0" fillId="8" borderId="6" xfId="0" applyFill="1" applyBorder="1" applyAlignment="1">
      <alignment horizontal="center" vertical="center"/>
    </xf>
    <xf numFmtId="0" fontId="0" fillId="9" borderId="9" xfId="0" applyFill="1" applyBorder="1" applyAlignment="1">
      <alignment horizontal="center" vertical="center"/>
    </xf>
    <xf numFmtId="0" fontId="0" fillId="10" borderId="9" xfId="0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0" fontId="0" fillId="11" borderId="7" xfId="0" applyFill="1" applyBorder="1" applyAlignment="1">
      <alignment horizontal="center" vertical="center"/>
    </xf>
    <xf numFmtId="0" fontId="0" fillId="12" borderId="8" xfId="0" applyFill="1" applyBorder="1" applyAlignment="1">
      <alignment horizontal="center" vertical="center"/>
    </xf>
    <xf numFmtId="0" fontId="14" fillId="18" borderId="8" xfId="0" applyFont="1" applyFill="1" applyBorder="1" applyAlignment="1">
      <alignment horizontal="center" vertical="center"/>
    </xf>
    <xf numFmtId="0" fontId="13" fillId="13" borderId="8" xfId="0" applyFont="1" applyFill="1" applyBorder="1" applyAlignment="1">
      <alignment horizontal="center" vertical="center"/>
    </xf>
    <xf numFmtId="0" fontId="15" fillId="21" borderId="14" xfId="0" applyFont="1" applyFill="1" applyBorder="1" applyAlignment="1">
      <alignment horizontal="center" vertical="center"/>
    </xf>
    <xf numFmtId="0" fontId="0" fillId="8" borderId="12" xfId="0" applyFill="1" applyBorder="1" applyAlignment="1">
      <alignment horizontal="center" vertical="center"/>
    </xf>
    <xf numFmtId="0" fontId="0" fillId="9" borderId="15" xfId="0" applyFill="1" applyBorder="1" applyAlignment="1">
      <alignment horizontal="center" vertical="center"/>
    </xf>
    <xf numFmtId="0" fontId="0" fillId="10" borderId="15" xfId="0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0" fillId="11" borderId="13" xfId="0" applyFill="1" applyBorder="1" applyAlignment="1">
      <alignment horizontal="center" vertical="center"/>
    </xf>
    <xf numFmtId="0" fontId="0" fillId="12" borderId="14" xfId="0" applyFill="1" applyBorder="1" applyAlignment="1">
      <alignment horizontal="center" vertical="center"/>
    </xf>
    <xf numFmtId="0" fontId="14" fillId="18" borderId="14" xfId="0" applyFont="1" applyFill="1" applyBorder="1" applyAlignment="1">
      <alignment horizontal="center" vertical="center"/>
    </xf>
    <xf numFmtId="0" fontId="13" fillId="13" borderId="14" xfId="0" applyFont="1" applyFill="1" applyBorder="1" applyAlignment="1">
      <alignment horizontal="center" vertical="center"/>
    </xf>
    <xf numFmtId="0" fontId="16" fillId="22" borderId="1" xfId="0" applyFont="1" applyFill="1" applyBorder="1" applyAlignment="1">
      <alignment horizontal="center" vertical="center"/>
    </xf>
    <xf numFmtId="0" fontId="17" fillId="23" borderId="8" xfId="0" applyFont="1" applyFill="1" applyBorder="1" applyAlignment="1">
      <alignment horizontal="center" vertical="center"/>
    </xf>
    <xf numFmtId="0" fontId="17" fillId="24" borderId="5" xfId="0" applyFont="1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11" borderId="11" xfId="0" applyFill="1" applyBorder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14" fillId="18" borderId="5" xfId="0" applyFont="1" applyFill="1" applyBorder="1" applyAlignment="1">
      <alignment horizontal="center" vertical="center"/>
    </xf>
    <xf numFmtId="0" fontId="13" fillId="13" borderId="5" xfId="0" applyFont="1" applyFill="1" applyBorder="1" applyAlignment="1">
      <alignment horizontal="center" vertical="center"/>
    </xf>
    <xf numFmtId="0" fontId="18" fillId="25" borderId="5" xfId="0" applyFont="1" applyFill="1" applyBorder="1" applyAlignment="1">
      <alignment horizontal="center" vertical="center"/>
    </xf>
    <xf numFmtId="0" fontId="19" fillId="26" borderId="5" xfId="0" applyFont="1" applyFill="1" applyBorder="1" applyAlignment="1">
      <alignment horizontal="center" vertical="center"/>
    </xf>
    <xf numFmtId="0" fontId="19" fillId="27" borderId="14" xfId="0" applyFont="1" applyFill="1" applyBorder="1" applyAlignment="1">
      <alignment horizontal="center" vertical="center"/>
    </xf>
    <xf numFmtId="0" fontId="20" fillId="15" borderId="1" xfId="0" applyFon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14" fillId="19" borderId="1" xfId="0" applyFont="1" applyFill="1" applyBorder="1" applyAlignment="1">
      <alignment horizontal="center" vertical="center"/>
    </xf>
    <xf numFmtId="0" fontId="21" fillId="28" borderId="8" xfId="0" applyFont="1" applyFill="1" applyBorder="1" applyAlignment="1">
      <alignment horizontal="center" vertical="center"/>
    </xf>
    <xf numFmtId="0" fontId="22" fillId="29" borderId="14" xfId="0" applyFont="1" applyFill="1" applyBorder="1" applyAlignment="1">
      <alignment horizontal="center" vertical="center"/>
    </xf>
    <xf numFmtId="0" fontId="21" fillId="17" borderId="8" xfId="0" applyFont="1" applyFill="1" applyBorder="1" applyAlignment="1">
      <alignment horizontal="center" vertical="center"/>
    </xf>
    <xf numFmtId="0" fontId="21" fillId="17" borderId="5" xfId="0" applyFont="1" applyFill="1" applyBorder="1" applyAlignment="1">
      <alignment horizontal="center" vertical="center"/>
    </xf>
    <xf numFmtId="0" fontId="23" fillId="14" borderId="1" xfId="0" applyFont="1" applyFill="1" applyBorder="1" applyAlignment="1">
      <alignment horizontal="center" vertical="center"/>
    </xf>
    <xf numFmtId="0" fontId="0" fillId="0" borderId="9" xfId="0" applyBorder="1"/>
    <xf numFmtId="0" fontId="0" fillId="0" borderId="0" xfId="0" applyProtection="1">
      <protection locked="0"/>
    </xf>
    <xf numFmtId="0" fontId="8" fillId="13" borderId="2" xfId="0" applyFont="1" applyFill="1" applyBorder="1" applyAlignment="1" applyProtection="1">
      <alignment horizontal="center" vertical="center"/>
      <protection locked="0"/>
    </xf>
    <xf numFmtId="0" fontId="8" fillId="13" borderId="4" xfId="0" applyFont="1" applyFill="1" applyBorder="1" applyAlignment="1" applyProtection="1">
      <alignment horizontal="center" vertical="center"/>
      <protection locked="0"/>
    </xf>
    <xf numFmtId="0" fontId="24" fillId="7" borderId="4" xfId="0" applyFont="1" applyFill="1" applyBorder="1" applyAlignment="1" applyProtection="1">
      <alignment horizontal="center" vertical="center"/>
      <protection locked="0"/>
    </xf>
    <xf numFmtId="0" fontId="21" fillId="17" borderId="4" xfId="0" applyFont="1" applyFill="1" applyBorder="1" applyAlignment="1" applyProtection="1">
      <alignment horizontal="center" vertical="center"/>
      <protection locked="0"/>
    </xf>
    <xf numFmtId="0" fontId="21" fillId="28" borderId="4" xfId="0" applyFont="1" applyFill="1" applyBorder="1" applyAlignment="1" applyProtection="1">
      <alignment horizontal="center" vertical="center"/>
      <protection locked="0"/>
    </xf>
    <xf numFmtId="0" fontId="22" fillId="29" borderId="4" xfId="0" applyFont="1" applyFill="1" applyBorder="1" applyAlignment="1" applyProtection="1">
      <alignment horizontal="center" vertical="center"/>
      <protection locked="0"/>
    </xf>
    <xf numFmtId="0" fontId="8" fillId="13" borderId="3" xfId="0" applyFont="1" applyFill="1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1" xfId="0" applyBorder="1" applyAlignment="1" applyProtection="1">
      <alignment horizontal="left" vertical="center"/>
      <protection locked="0"/>
    </xf>
  </cellXfs>
  <cellStyles count="1">
    <cellStyle name="Normal" xfId="0" builtinId="0"/>
  </cellStyles>
  <dxfs count="40">
    <dxf>
      <font>
        <color rgb="FF00CC33"/>
      </font>
    </dxf>
    <dxf>
      <font>
        <color rgb="FF66FF99"/>
      </font>
    </dxf>
    <dxf>
      <font>
        <color rgb="FF00CCCC"/>
      </font>
    </dxf>
    <dxf>
      <font>
        <color rgb="FF99FFFF"/>
      </font>
    </dxf>
    <dxf>
      <font>
        <color rgb="FFFF00FF"/>
      </font>
    </dxf>
    <dxf>
      <font>
        <color rgb="FFFF99FF"/>
      </font>
    </dxf>
    <dxf>
      <font>
        <color rgb="FFFF9900"/>
      </font>
    </dxf>
    <dxf>
      <font>
        <color rgb="FFFFCC00"/>
      </font>
    </dxf>
    <dxf>
      <font>
        <color rgb="FFFFFF66"/>
      </font>
    </dxf>
    <dxf>
      <font>
        <color rgb="FF999999"/>
      </font>
    </dxf>
    <dxf>
      <font>
        <color rgb="FFCCCCCC"/>
      </font>
    </dxf>
    <dxf>
      <font>
        <color rgb="FFCCCC99"/>
      </font>
    </dxf>
    <dxf>
      <font>
        <color rgb="FFFFFFCC"/>
      </font>
    </dxf>
    <dxf>
      <font>
        <color rgb="FF669999"/>
      </font>
    </dxf>
    <dxf>
      <font>
        <color rgb="FF99CCCC"/>
      </font>
    </dxf>
    <dxf>
      <font>
        <color rgb="FF999999"/>
      </font>
      <fill>
        <patternFill>
          <bgColor rgb="FFCCCCCC"/>
        </patternFill>
      </fill>
    </dxf>
    <dxf>
      <font>
        <color rgb="FF990000"/>
      </font>
      <fill>
        <patternFill>
          <bgColor rgb="FFFF6666"/>
        </patternFill>
      </fill>
    </dxf>
    <dxf>
      <font>
        <color rgb="FF0000CC"/>
      </font>
      <fill>
        <patternFill>
          <bgColor rgb="FF66CCFF"/>
        </patternFill>
      </fill>
    </dxf>
    <dxf>
      <font>
        <color rgb="FF333333"/>
      </font>
      <fill>
        <patternFill>
          <bgColor rgb="FF999999"/>
        </patternFill>
      </fill>
    </dxf>
    <dxf>
      <font>
        <color rgb="FF003300"/>
      </font>
      <fill>
        <patternFill>
          <bgColor rgb="FF00FF00"/>
        </patternFill>
      </fill>
    </dxf>
    <dxf>
      <font>
        <color rgb="FF003300"/>
      </font>
      <fill>
        <patternFill>
          <bgColor rgb="FF99FF33"/>
        </patternFill>
      </fill>
    </dxf>
    <dxf>
      <font>
        <color rgb="FF333300"/>
      </font>
      <fill>
        <patternFill>
          <bgColor rgb="FFFFFF00"/>
        </patternFill>
      </fill>
    </dxf>
    <dxf>
      <font>
        <color rgb="FF330000"/>
      </font>
      <fill>
        <patternFill>
          <bgColor rgb="FFFF6600"/>
        </patternFill>
      </fill>
    </dxf>
    <dxf>
      <font>
        <color rgb="FF330000"/>
      </font>
      <fill>
        <patternFill>
          <bgColor rgb="FFFF0000"/>
        </patternFill>
      </fill>
    </dxf>
    <dxf>
      <font>
        <b/>
        <i/>
        <color rgb="FFFF0000"/>
      </font>
    </dxf>
    <dxf>
      <font>
        <b/>
        <i/>
        <color rgb="FF660000"/>
      </font>
      <fill>
        <patternFill>
          <bgColor rgb="FFFF6600"/>
        </patternFill>
      </fill>
    </dxf>
    <dxf>
      <font>
        <b/>
        <i/>
        <color rgb="FF660000"/>
      </font>
      <fill>
        <patternFill>
          <bgColor rgb="FFFF0000"/>
        </patternFill>
      </fill>
    </dxf>
    <dxf>
      <fill>
        <patternFill>
          <bgColor rgb="FF66FF99"/>
        </patternFill>
      </fill>
    </dxf>
    <dxf>
      <fill>
        <patternFill>
          <bgColor rgb="FF99FFFF"/>
        </patternFill>
      </fill>
    </dxf>
    <dxf>
      <fill>
        <patternFill>
          <bgColor rgb="FFFF99FF"/>
        </patternFill>
      </fill>
    </dxf>
    <dxf>
      <fill>
        <patternFill>
          <bgColor rgb="FFFFCC00"/>
        </patternFill>
      </fill>
    </dxf>
    <dxf>
      <fill>
        <patternFill>
          <bgColor rgb="FFFFFF66"/>
        </patternFill>
      </fill>
    </dxf>
    <dxf>
      <fill>
        <patternFill>
          <bgColor rgb="FFCCCCCC"/>
        </patternFill>
      </fill>
    </dxf>
    <dxf>
      <font>
        <color rgb="FFFFFFCC"/>
      </font>
      <fill>
        <patternFill>
          <bgColor rgb="FF990000"/>
        </patternFill>
      </fill>
    </dxf>
    <dxf>
      <font>
        <color rgb="FF000099"/>
      </font>
      <fill>
        <patternFill>
          <bgColor rgb="FF99CCFF"/>
        </patternFill>
      </fill>
    </dxf>
    <dxf>
      <font>
        <color rgb="FF000099"/>
      </font>
      <fill>
        <patternFill>
          <bgColor rgb="FF00FFFF"/>
        </patternFill>
      </fill>
    </dxf>
    <dxf>
      <font>
        <color rgb="FF330066"/>
      </font>
      <fill>
        <patternFill>
          <bgColor rgb="FFCC99FF"/>
        </patternFill>
      </fill>
    </dxf>
    <dxf>
      <font>
        <b/>
        <color rgb="FF990000"/>
      </font>
      <fill>
        <patternFill>
          <bgColor rgb="FFFFFFCC"/>
        </patternFill>
      </fill>
    </dxf>
    <dxf>
      <font>
        <b/>
        <color rgb="FFFF0000"/>
      </font>
      <fill>
        <patternFill>
          <bgColor rgb="FF000000"/>
        </patternFill>
      </fill>
    </dxf>
    <dxf>
      <font>
        <b/>
        <color rgb="FFFFFFFF"/>
      </font>
      <fill>
        <patternFill>
          <bgColor rgb="FFFF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>
    <outlinePr summaryBelow="0"/>
  </sheetPr>
  <dimension ref="A1:O31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/>
    </sheetView>
  </sheetViews>
  <sheetFormatPr defaultRowHeight="15" outlineLevelRow="1"/>
  <cols>
    <col min="1" max="1" width="10.7109375" customWidth="1"/>
    <col min="2" max="15" width="7.7109375" customWidth="1"/>
  </cols>
  <sheetData>
    <row r="1" spans="1:15" ht="42" customHeight="1">
      <c r="A1" s="1" t="s">
        <v>137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</row>
    <row r="2" spans="1:15">
      <c r="A2" s="2" t="s">
        <v>0</v>
      </c>
      <c r="B2" s="3" t="s">
        <v>138</v>
      </c>
      <c r="C2" s="4" t="s">
        <v>139</v>
      </c>
      <c r="D2" s="3" t="s">
        <v>138</v>
      </c>
      <c r="E2" s="5" t="s">
        <v>139</v>
      </c>
      <c r="F2" s="3" t="s">
        <v>138</v>
      </c>
      <c r="G2" s="6" t="s">
        <v>139</v>
      </c>
      <c r="H2" s="3" t="s">
        <v>138</v>
      </c>
      <c r="I2" s="7" t="s">
        <v>139</v>
      </c>
      <c r="J2" s="3" t="s">
        <v>138</v>
      </c>
      <c r="K2" s="8" t="s">
        <v>139</v>
      </c>
      <c r="L2" s="3" t="s">
        <v>138</v>
      </c>
      <c r="M2" s="3" t="s">
        <v>138</v>
      </c>
      <c r="N2" s="9" t="s">
        <v>139</v>
      </c>
      <c r="O2" s="3" t="s">
        <v>140</v>
      </c>
    </row>
    <row r="3" spans="1:15">
      <c r="A3" s="10" t="s">
        <v>4</v>
      </c>
      <c r="B3" s="11">
        <v>10</v>
      </c>
      <c r="C3" s="11"/>
      <c r="D3" s="12">
        <v>11</v>
      </c>
      <c r="E3" s="12"/>
      <c r="F3" s="13">
        <v>12</v>
      </c>
      <c r="G3" s="13"/>
      <c r="H3" s="14">
        <v>13</v>
      </c>
      <c r="I3" s="14"/>
      <c r="J3" s="15">
        <v>14</v>
      </c>
      <c r="K3" s="15"/>
      <c r="L3" s="16" t="s">
        <v>21</v>
      </c>
      <c r="M3" s="17" t="s">
        <v>141</v>
      </c>
      <c r="N3" s="17"/>
      <c r="O3" s="17"/>
    </row>
    <row r="4" spans="1:15">
      <c r="A4" s="18" t="s">
        <v>17</v>
      </c>
      <c r="B4" s="19">
        <f>COUNTIFS(_Classe,B3,_All2,1)</f>
        <v>0</v>
      </c>
      <c r="C4" s="20">
        <f>SUM(C5:C8)</f>
        <v>0</v>
      </c>
      <c r="D4" s="21">
        <f>COUNTIFS(_Classe,D3,_All2,1)</f>
        <v>0</v>
      </c>
      <c r="E4" s="22">
        <f>SUM(E5:E8)</f>
        <v>0</v>
      </c>
      <c r="F4" s="23">
        <f>COUNTIFS(_Classe,F3,_All2,1)</f>
        <v>0</v>
      </c>
      <c r="G4" s="24">
        <f>SUM(G5:G8)</f>
        <v>0</v>
      </c>
      <c r="H4" s="25">
        <f>COUNTIFS(_Classe,H3,_All2,1)</f>
        <v>0</v>
      </c>
      <c r="I4" s="26">
        <f>SUM(I5:I8)</f>
        <v>0</v>
      </c>
      <c r="J4" s="27">
        <f>COUNTIFS(_Classe,J3,_All2,1)</f>
        <v>0</v>
      </c>
      <c r="K4" s="28">
        <f>SUM(K5:K8)</f>
        <v>0</v>
      </c>
      <c r="L4" s="29">
        <f>COUNTIFS(_Classe,L3,_All2,1)</f>
        <v>0</v>
      </c>
      <c r="M4" s="30">
        <f>SUM(B4,D4,F4,H4,J4,L4)</f>
        <v>0</v>
      </c>
      <c r="N4" s="31">
        <f>SUM(C4,E4,G4,I4,K4)</f>
        <v>0</v>
      </c>
      <c r="O4" s="32">
        <f>COUNTIFS(_All2,1)</f>
        <v>0</v>
      </c>
    </row>
    <row r="5" spans="1:15" outlineLevel="1">
      <c r="A5" s="33" t="s">
        <v>142</v>
      </c>
      <c r="B5" s="34">
        <f>COUNTIFS(_Classe,B3,_All2,1,_Sport,"",_Latin,"")</f>
        <v>0</v>
      </c>
      <c r="C5" s="35"/>
      <c r="D5" s="36">
        <f>COUNTIFS(_Classe,D3,_All2,1,_Sport,"",_Latin,"")</f>
        <v>0</v>
      </c>
      <c r="E5" s="37"/>
      <c r="F5" s="38">
        <f>COUNTIFS(_Classe,F3,_All2,1,_Sport,"",_Latin,"")</f>
        <v>0</v>
      </c>
      <c r="G5" s="39"/>
      <c r="H5" s="40">
        <f>COUNTIFS(_Classe,H3,_All2,1,_Sport,"",_Latin,"")</f>
        <v>0</v>
      </c>
      <c r="I5" s="41"/>
      <c r="J5" s="42">
        <f>COUNTIFS(_Classe,J3,_All2,1,_Sport,"",_Latin,"")</f>
        <v>0</v>
      </c>
      <c r="K5" s="43"/>
      <c r="L5" s="44">
        <f>COUNTIFS(_Classe,L3,_All2,1,_Sport,"",_Latin,"")</f>
        <v>0</v>
      </c>
      <c r="M5" s="45">
        <f>SUM(B5,D5,F5,H5,J5,L5)</f>
        <v>0</v>
      </c>
      <c r="N5" s="46">
        <f>SUM(C5,E5,G5,I5,K5)</f>
        <v>0</v>
      </c>
      <c r="O5" s="47">
        <f>COUNTIFS(_All2,1,_Sport,"",_Latin,"")</f>
        <v>0</v>
      </c>
    </row>
    <row r="6" spans="1:15" outlineLevel="1">
      <c r="A6" s="33" t="s">
        <v>15</v>
      </c>
      <c r="B6" s="48">
        <f>COUNTIFS(_Classe,B3,_All2,1,_Sport,1,_Latin,"")</f>
        <v>0</v>
      </c>
      <c r="C6" s="49"/>
      <c r="D6" s="50">
        <f>COUNTIFS(_Classe,D3,_All2,1,_Sport,1,_Latin,"")</f>
        <v>0</v>
      </c>
      <c r="E6" s="51"/>
      <c r="F6" s="52">
        <f>COUNTIFS(_Classe,F3,_All2,1,_Sport,1,_Latin,"")</f>
        <v>0</v>
      </c>
      <c r="G6" s="53"/>
      <c r="H6" s="54">
        <f>COUNTIFS(_Classe,H3,_All2,1,_Sport,1,_Latin,"")</f>
        <v>0</v>
      </c>
      <c r="I6" s="55"/>
      <c r="J6" s="56">
        <f>COUNTIFS(_Classe,J3,_All2,1,_Sport,1,_Latin,"")</f>
        <v>0</v>
      </c>
      <c r="K6" s="57"/>
      <c r="L6" s="58">
        <f>COUNTIFS(_Classe,L3,_All2,1,_Sport,1,_Latin,"")</f>
        <v>0</v>
      </c>
      <c r="M6" s="59">
        <f>SUM(B6,D6,F6,H6,J6,L6)</f>
        <v>0</v>
      </c>
      <c r="N6" s="60">
        <f>SUM(C6,E6,G6,I6,K6)</f>
        <v>0</v>
      </c>
      <c r="O6" s="61">
        <f>COUNTIFS(_All2,1,_Sport,1,_Latin,"")</f>
        <v>0</v>
      </c>
    </row>
    <row r="7" spans="1:15" outlineLevel="1">
      <c r="A7" s="33" t="s">
        <v>16</v>
      </c>
      <c r="B7" s="48">
        <f>COUNTIFS(_Classe,B3,_All2,1,_Sport,"",_Latin,1)</f>
        <v>0</v>
      </c>
      <c r="C7" s="49"/>
      <c r="D7" s="50">
        <f>COUNTIFS(_Classe,D3,_All2,1,_Sport,"",_Latin,1)</f>
        <v>0</v>
      </c>
      <c r="E7" s="51"/>
      <c r="F7" s="52">
        <f>COUNTIFS(_Classe,F3,_All2,1,_Sport,"",_Latin,1)</f>
        <v>0</v>
      </c>
      <c r="G7" s="53"/>
      <c r="H7" s="54">
        <f>COUNTIFS(_Classe,H3,_All2,1,_Sport,"",_Latin,1)</f>
        <v>0</v>
      </c>
      <c r="I7" s="55"/>
      <c r="J7" s="56">
        <f>COUNTIFS(_Classe,J3,_All2,1,_Sport,"",_Latin,1)</f>
        <v>0</v>
      </c>
      <c r="K7" s="57"/>
      <c r="L7" s="58">
        <f>COUNTIFS(_Classe,L3,_All2,1,_Sport,"",_Latin,1)</f>
        <v>0</v>
      </c>
      <c r="M7" s="59">
        <f>SUM(B7,D7,F7,H7,J7,L7)</f>
        <v>0</v>
      </c>
      <c r="N7" s="60">
        <f>SUM(C7,E7,G7,I7,K7)</f>
        <v>0</v>
      </c>
      <c r="O7" s="61">
        <f>COUNTIFS(_All2,1,_Sport,"",_Latin,1)</f>
        <v>0</v>
      </c>
    </row>
    <row r="8" spans="1:15" outlineLevel="1">
      <c r="A8" s="33" t="s">
        <v>143</v>
      </c>
      <c r="B8" s="62">
        <f>COUNTIFS(_Classe,B3,_All2,1,_Sport,1,_Latin,1)</f>
        <v>0</v>
      </c>
      <c r="C8" s="63"/>
      <c r="D8" s="64">
        <f>COUNTIFS(_Classe,D3,_All2,1,_Sport,1,_Latin,1)</f>
        <v>0</v>
      </c>
      <c r="E8" s="65"/>
      <c r="F8" s="66">
        <f>COUNTIFS(_Classe,F3,_All2,1,_Sport,1,_Latin,1)</f>
        <v>0</v>
      </c>
      <c r="G8" s="67"/>
      <c r="H8" s="68">
        <f>COUNTIFS(_Classe,H3,_All2,1,_Sport,1,_Latin,1)</f>
        <v>0</v>
      </c>
      <c r="I8" s="69"/>
      <c r="J8" s="70">
        <f>COUNTIFS(_Classe,J3,_All2,1,_Sport,1,_Latin,1)</f>
        <v>0</v>
      </c>
      <c r="K8" s="71"/>
      <c r="L8" s="72">
        <f>COUNTIFS(_Classe,L3,_All2,1,_Sport,1,_Latin,1)</f>
        <v>0</v>
      </c>
      <c r="M8" s="73">
        <f>SUM(B8,D8,F8,H8,J8,L8)</f>
        <v>0</v>
      </c>
      <c r="N8" s="74">
        <f>SUM(C8,E8,G8,I8,K8)</f>
        <v>0</v>
      </c>
      <c r="O8" s="75">
        <f>COUNTIFS(_All2,1,_Sport,1,_Latin,1)</f>
        <v>0</v>
      </c>
    </row>
    <row r="9" spans="1:15">
      <c r="A9" s="18" t="s">
        <v>18</v>
      </c>
      <c r="B9" s="19">
        <f>COUNTIFS(_Classe,B3,_Ita2,1)</f>
        <v>0</v>
      </c>
      <c r="C9" s="20">
        <f>SUM(C10:C13)</f>
        <v>0</v>
      </c>
      <c r="D9" s="21">
        <f>COUNTIFS(_Classe,D3,_Ita2,1)</f>
        <v>0</v>
      </c>
      <c r="E9" s="22">
        <f>SUM(E10:E13)</f>
        <v>0</v>
      </c>
      <c r="F9" s="23">
        <f>COUNTIFS(_Classe,F3,_Ita2,1)</f>
        <v>0</v>
      </c>
      <c r="G9" s="24">
        <f>SUM(G10:G13)</f>
        <v>0</v>
      </c>
      <c r="H9" s="25">
        <f>COUNTIFS(_Classe,H3,_Ita2,1)</f>
        <v>0</v>
      </c>
      <c r="I9" s="26">
        <f>SUM(I10:I13)</f>
        <v>0</v>
      </c>
      <c r="J9" s="27">
        <f>COUNTIFS(_Classe,J3,_Ita2,1)</f>
        <v>0</v>
      </c>
      <c r="K9" s="28">
        <f>SUM(K10:K13)</f>
        <v>0</v>
      </c>
      <c r="L9" s="29">
        <f>COUNTIFS(_Classe,L3,_Ita2,1)</f>
        <v>0</v>
      </c>
      <c r="M9" s="30">
        <f>SUM(B9,D9,F9,H9,J9,L9)</f>
        <v>0</v>
      </c>
      <c r="N9" s="31">
        <f>SUM(C9,E9,G9,I9,K9)</f>
        <v>0</v>
      </c>
      <c r="O9" s="32">
        <f>COUNTIFS(_Ita2,1)</f>
        <v>0</v>
      </c>
    </row>
    <row r="10" spans="1:15" outlineLevel="1">
      <c r="A10" s="33" t="s">
        <v>142</v>
      </c>
      <c r="B10" s="34">
        <f>COUNTIFS(_Classe,B3,_Ita2,1,_Sport,"",_Latin,"")</f>
        <v>0</v>
      </c>
      <c r="C10" s="35"/>
      <c r="D10" s="36">
        <f>COUNTIFS(_Classe,D3,_Ita2,1,_Sport,"",_Latin,"")</f>
        <v>0</v>
      </c>
      <c r="E10" s="37"/>
      <c r="F10" s="38">
        <f>COUNTIFS(_Classe,F3,_Ita2,1,_Sport,"",_Latin,"")</f>
        <v>0</v>
      </c>
      <c r="G10" s="39"/>
      <c r="H10" s="40">
        <f>COUNTIFS(_Classe,H3,_Ita2,1,_Sport,"",_Latin,"")</f>
        <v>0</v>
      </c>
      <c r="I10" s="41"/>
      <c r="J10" s="42">
        <f>COUNTIFS(_Classe,J3,_Ita2,1,_Sport,"",_Latin,"")</f>
        <v>0</v>
      </c>
      <c r="K10" s="43"/>
      <c r="L10" s="44">
        <f>COUNTIFS(_Classe,L3,_Ita2,1,_Sport,"",_Latin,"")</f>
        <v>0</v>
      </c>
      <c r="M10" s="45">
        <f>SUM(B10,D10,F10,H10,J10,L10)</f>
        <v>0</v>
      </c>
      <c r="N10" s="46">
        <f>SUM(C10,E10,G10,I10,K10)</f>
        <v>0</v>
      </c>
      <c r="O10" s="47">
        <f>COUNTIFS(_Ita2,1,_Sport,"",_Latin,"")</f>
        <v>0</v>
      </c>
    </row>
    <row r="11" spans="1:15" outlineLevel="1">
      <c r="A11" s="33" t="s">
        <v>15</v>
      </c>
      <c r="B11" s="48">
        <f>COUNTIFS(_Classe,B3,_Ita2,1,_Sport,1,_Latin,"")</f>
        <v>0</v>
      </c>
      <c r="C11" s="49"/>
      <c r="D11" s="50">
        <f>COUNTIFS(_Classe,D3,_Ita2,1,_Sport,1,_Latin,"")</f>
        <v>0</v>
      </c>
      <c r="E11" s="51"/>
      <c r="F11" s="52">
        <f>COUNTIFS(_Classe,F3,_Ita2,1,_Sport,1,_Latin,"")</f>
        <v>0</v>
      </c>
      <c r="G11" s="53"/>
      <c r="H11" s="54">
        <f>COUNTIFS(_Classe,H3,_Ita2,1,_Sport,1,_Latin,"")</f>
        <v>0</v>
      </c>
      <c r="I11" s="55"/>
      <c r="J11" s="56">
        <f>COUNTIFS(_Classe,J3,_Ita2,1,_Sport,1,_Latin,"")</f>
        <v>0</v>
      </c>
      <c r="K11" s="57"/>
      <c r="L11" s="58">
        <f>COUNTIFS(_Classe,L3,_Ita2,1,_Sport,1,_Latin,"")</f>
        <v>0</v>
      </c>
      <c r="M11" s="59">
        <f>SUM(B11,D11,F11,H11,J11,L11)</f>
        <v>0</v>
      </c>
      <c r="N11" s="60">
        <f>SUM(C11,E11,G11,I11,K11)</f>
        <v>0</v>
      </c>
      <c r="O11" s="61">
        <f>COUNTIFS(_Ita2,1,_Sport,1,_Latin,"")</f>
        <v>0</v>
      </c>
    </row>
    <row r="12" spans="1:15" outlineLevel="1">
      <c r="A12" s="33" t="s">
        <v>16</v>
      </c>
      <c r="B12" s="48">
        <f>COUNTIFS(_Classe,B3,_Ita2,1,_Sport,"",_Latin,1)</f>
        <v>0</v>
      </c>
      <c r="C12" s="49"/>
      <c r="D12" s="50">
        <f>COUNTIFS(_Classe,D3,_Ita2,1,_Sport,"",_Latin,1)</f>
        <v>0</v>
      </c>
      <c r="E12" s="51"/>
      <c r="F12" s="52">
        <f>COUNTIFS(_Classe,F3,_Ita2,1,_Sport,"",_Latin,1)</f>
        <v>0</v>
      </c>
      <c r="G12" s="53"/>
      <c r="H12" s="54">
        <f>COUNTIFS(_Classe,H3,_Ita2,1,_Sport,"",_Latin,1)</f>
        <v>0</v>
      </c>
      <c r="I12" s="55"/>
      <c r="J12" s="56">
        <f>COUNTIFS(_Classe,J3,_Ita2,1,_Sport,"",_Latin,1)</f>
        <v>0</v>
      </c>
      <c r="K12" s="57"/>
      <c r="L12" s="58">
        <f>COUNTIFS(_Classe,L3,_Ita2,1,_Sport,"",_Latin,1)</f>
        <v>0</v>
      </c>
      <c r="M12" s="59">
        <f>SUM(B12,D12,F12,H12,J12,L12)</f>
        <v>0</v>
      </c>
      <c r="N12" s="60">
        <f>SUM(C12,E12,G12,I12,K12)</f>
        <v>0</v>
      </c>
      <c r="O12" s="61">
        <f>COUNTIFS(_Ita2,1,_Sport,"",_Latin,1)</f>
        <v>0</v>
      </c>
    </row>
    <row r="13" spans="1:15" outlineLevel="1">
      <c r="A13" s="33" t="s">
        <v>143</v>
      </c>
      <c r="B13" s="62">
        <f>COUNTIFS(_Classe,B3,_Ita2,1,_Sport,1,_Latin,1)</f>
        <v>0</v>
      </c>
      <c r="C13" s="63"/>
      <c r="D13" s="64">
        <f>COUNTIFS(_Classe,D3,_Ita2,1,_Sport,1,_Latin,1)</f>
        <v>0</v>
      </c>
      <c r="E13" s="65"/>
      <c r="F13" s="66">
        <f>COUNTIFS(_Classe,F3,_Ita2,1,_Sport,1,_Latin,1)</f>
        <v>0</v>
      </c>
      <c r="G13" s="67"/>
      <c r="H13" s="68">
        <f>COUNTIFS(_Classe,H3,_Ita2,1,_Sport,1,_Latin,1)</f>
        <v>0</v>
      </c>
      <c r="I13" s="69"/>
      <c r="J13" s="70">
        <f>COUNTIFS(_Classe,J3,_Ita2,1,_Sport,1,_Latin,1)</f>
        <v>0</v>
      </c>
      <c r="K13" s="71"/>
      <c r="L13" s="72">
        <f>COUNTIFS(_Classe,L3,_Ita2,1,_Sport,1,_Latin,1)</f>
        <v>0</v>
      </c>
      <c r="M13" s="73">
        <f>SUM(B13,D13,F13,H13,J13,L13)</f>
        <v>0</v>
      </c>
      <c r="N13" s="74">
        <f>SUM(C13,E13,G13,I13,K13)</f>
        <v>0</v>
      </c>
      <c r="O13" s="75">
        <f>COUNTIFS(_Ita2,1,_Sport,1,_Latin,1)</f>
        <v>0</v>
      </c>
    </row>
    <row r="14" spans="1:15">
      <c r="A14" s="18" t="s">
        <v>19</v>
      </c>
      <c r="B14" s="19">
        <f>COUNTIFS(_Classe,B3,_Esp2,1)</f>
        <v>0</v>
      </c>
      <c r="C14" s="20">
        <f>SUM(C15:C18)</f>
        <v>0</v>
      </c>
      <c r="D14" s="21">
        <f>COUNTIFS(_Classe,D3,_Esp2,1)</f>
        <v>0</v>
      </c>
      <c r="E14" s="22">
        <f>SUM(E15:E18)</f>
        <v>0</v>
      </c>
      <c r="F14" s="23">
        <f>COUNTIFS(_Classe,F3,_Esp2,1)</f>
        <v>0</v>
      </c>
      <c r="G14" s="24">
        <f>SUM(G15:G18)</f>
        <v>0</v>
      </c>
      <c r="H14" s="25">
        <f>COUNTIFS(_Classe,H3,_Esp2,1)</f>
        <v>0</v>
      </c>
      <c r="I14" s="26">
        <f>SUM(I15:I18)</f>
        <v>0</v>
      </c>
      <c r="J14" s="27">
        <f>COUNTIFS(_Classe,J3,_Esp2,1)</f>
        <v>0</v>
      </c>
      <c r="K14" s="28">
        <f>SUM(K15:K18)</f>
        <v>0</v>
      </c>
      <c r="L14" s="29">
        <f>COUNTIFS(_Classe,L3,_Esp2,1)</f>
        <v>0</v>
      </c>
      <c r="M14" s="30">
        <f>SUM(B14,D14,F14,H14,J14,L14)</f>
        <v>0</v>
      </c>
      <c r="N14" s="31">
        <f>SUM(C14,E14,G14,I14,K14)</f>
        <v>0</v>
      </c>
      <c r="O14" s="32">
        <f>COUNTIFS(_Esp2,1)</f>
        <v>0</v>
      </c>
    </row>
    <row r="15" spans="1:15" outlineLevel="1">
      <c r="A15" s="33" t="s">
        <v>142</v>
      </c>
      <c r="B15" s="34">
        <f>COUNTIFS(_Classe,B3,_Esp2,1,_Sport,"",_Latin,"")</f>
        <v>0</v>
      </c>
      <c r="C15" s="35"/>
      <c r="D15" s="36">
        <f>COUNTIFS(_Classe,D3,_Esp2,1,_Sport,"",_Latin,"")</f>
        <v>0</v>
      </c>
      <c r="E15" s="37"/>
      <c r="F15" s="38">
        <f>COUNTIFS(_Classe,F3,_Esp2,1,_Sport,"",_Latin,"")</f>
        <v>0</v>
      </c>
      <c r="G15" s="39"/>
      <c r="H15" s="40">
        <f>COUNTIFS(_Classe,H3,_Esp2,1,_Sport,"",_Latin,"")</f>
        <v>0</v>
      </c>
      <c r="I15" s="41"/>
      <c r="J15" s="42">
        <f>COUNTIFS(_Classe,J3,_Esp2,1,_Sport,"",_Latin,"")</f>
        <v>0</v>
      </c>
      <c r="K15" s="43"/>
      <c r="L15" s="44">
        <f>COUNTIFS(_Classe,L3,_Esp2,1,_Sport,"",_Latin,"")</f>
        <v>0</v>
      </c>
      <c r="M15" s="45">
        <f>SUM(B15,D15,F15,H15,J15,L15)</f>
        <v>0</v>
      </c>
      <c r="N15" s="46">
        <f>SUM(C15,E15,G15,I15,K15)</f>
        <v>0</v>
      </c>
      <c r="O15" s="47">
        <f>COUNTIFS(_Esp2,1,_Sport,"",_Latin,"")</f>
        <v>0</v>
      </c>
    </row>
    <row r="16" spans="1:15" outlineLevel="1">
      <c r="A16" s="33" t="s">
        <v>15</v>
      </c>
      <c r="B16" s="48">
        <f>COUNTIFS(_Classe,B3,_Esp2,1,_Sport,1,_Latin,"")</f>
        <v>0</v>
      </c>
      <c r="C16" s="49"/>
      <c r="D16" s="50">
        <f>COUNTIFS(_Classe,D3,_Esp2,1,_Sport,1,_Latin,"")</f>
        <v>0</v>
      </c>
      <c r="E16" s="51"/>
      <c r="F16" s="52">
        <f>COUNTIFS(_Classe,F3,_Esp2,1,_Sport,1,_Latin,"")</f>
        <v>0</v>
      </c>
      <c r="G16" s="53"/>
      <c r="H16" s="54">
        <f>COUNTIFS(_Classe,H3,_Esp2,1,_Sport,1,_Latin,"")</f>
        <v>0</v>
      </c>
      <c r="I16" s="55"/>
      <c r="J16" s="56">
        <f>COUNTIFS(_Classe,J3,_Esp2,1,_Sport,1,_Latin,"")</f>
        <v>0</v>
      </c>
      <c r="K16" s="57"/>
      <c r="L16" s="58">
        <f>COUNTIFS(_Classe,L3,_Esp2,1,_Sport,1,_Latin,"")</f>
        <v>0</v>
      </c>
      <c r="M16" s="59">
        <f>SUM(B16,D16,F16,H16,J16,L16)</f>
        <v>0</v>
      </c>
      <c r="N16" s="60">
        <f>SUM(C16,E16,G16,I16,K16)</f>
        <v>0</v>
      </c>
      <c r="O16" s="61">
        <f>COUNTIFS(_Esp2,1,_Sport,1,_Latin,"")</f>
        <v>0</v>
      </c>
    </row>
    <row r="17" spans="1:15" outlineLevel="1">
      <c r="A17" s="33" t="s">
        <v>16</v>
      </c>
      <c r="B17" s="48">
        <f>COUNTIFS(_Classe,B3,_Esp2,1,_Sport,"",_Latin,1)</f>
        <v>0</v>
      </c>
      <c r="C17" s="49"/>
      <c r="D17" s="50">
        <f>COUNTIFS(_Classe,D3,_Esp2,1,_Sport,"",_Latin,1)</f>
        <v>0</v>
      </c>
      <c r="E17" s="51"/>
      <c r="F17" s="52">
        <f>COUNTIFS(_Classe,F3,_Esp2,1,_Sport,"",_Latin,1)</f>
        <v>0</v>
      </c>
      <c r="G17" s="53"/>
      <c r="H17" s="54">
        <f>COUNTIFS(_Classe,H3,_Esp2,1,_Sport,"",_Latin,1)</f>
        <v>0</v>
      </c>
      <c r="I17" s="55"/>
      <c r="J17" s="56">
        <f>COUNTIFS(_Classe,J3,_Esp2,1,_Sport,"",_Latin,1)</f>
        <v>0</v>
      </c>
      <c r="K17" s="57"/>
      <c r="L17" s="58">
        <f>COUNTIFS(_Classe,L3,_Esp2,1,_Sport,"",_Latin,1)</f>
        <v>0</v>
      </c>
      <c r="M17" s="59">
        <f>SUM(B17,D17,F17,H17,J17,L17)</f>
        <v>0</v>
      </c>
      <c r="N17" s="60">
        <f>SUM(C17,E17,G17,I17,K17)</f>
        <v>0</v>
      </c>
      <c r="O17" s="61">
        <f>COUNTIFS(_Esp2,1,_Sport,"",_Latin,1)</f>
        <v>0</v>
      </c>
    </row>
    <row r="18" spans="1:15" outlineLevel="1">
      <c r="A18" s="33" t="s">
        <v>143</v>
      </c>
      <c r="B18" s="62">
        <f>COUNTIFS(_Classe,B3,_Esp2,1,_Sport,1,_Latin,1)</f>
        <v>0</v>
      </c>
      <c r="C18" s="63"/>
      <c r="D18" s="64">
        <f>COUNTIFS(_Classe,D3,_Esp2,1,_Sport,1,_Latin,1)</f>
        <v>0</v>
      </c>
      <c r="E18" s="65"/>
      <c r="F18" s="66">
        <f>COUNTIFS(_Classe,F3,_Esp2,1,_Sport,1,_Latin,1)</f>
        <v>0</v>
      </c>
      <c r="G18" s="67"/>
      <c r="H18" s="68">
        <f>COUNTIFS(_Classe,H3,_Esp2,1,_Sport,1,_Latin,1)</f>
        <v>0</v>
      </c>
      <c r="I18" s="69"/>
      <c r="J18" s="70">
        <f>COUNTIFS(_Classe,J3,_Esp2,1,_Sport,1,_Latin,1)</f>
        <v>0</v>
      </c>
      <c r="K18" s="71"/>
      <c r="L18" s="72">
        <f>COUNTIFS(_Classe,L3,_Esp2,1,_Sport,1,_Latin,1)</f>
        <v>0</v>
      </c>
      <c r="M18" s="73">
        <f>SUM(B18,D18,F18,H18,J18,L18)</f>
        <v>0</v>
      </c>
      <c r="N18" s="74">
        <f>SUM(C18,E18,G18,I18,K18)</f>
        <v>0</v>
      </c>
      <c r="O18" s="75">
        <f>COUNTIFS(_Esp2,1,_Sport,1,_Latin,1)</f>
        <v>0</v>
      </c>
    </row>
    <row r="19" spans="1:15">
      <c r="A19" s="18" t="s">
        <v>20</v>
      </c>
      <c r="B19" s="19">
        <f>COUNTIFS(_Classe,B3,_All2,"",_Ita2,"",_Esp2,"")</f>
        <v>0</v>
      </c>
      <c r="C19" s="20">
        <f>SUM(C20:C23)</f>
        <v>0</v>
      </c>
      <c r="D19" s="21">
        <f>COUNTIFS(_Classe,D3,_All2,"",_Ita2,"",_Esp2,"")</f>
        <v>0</v>
      </c>
      <c r="E19" s="22">
        <f>SUM(E20:E23)</f>
        <v>0</v>
      </c>
      <c r="F19" s="23">
        <f>COUNTIFS(_Classe,F3,_All2,"",_Ita2,"",_Esp2,"")</f>
        <v>0</v>
      </c>
      <c r="G19" s="24">
        <f>SUM(G20:G23)</f>
        <v>0</v>
      </c>
      <c r="H19" s="25">
        <f>COUNTIFS(_Classe,H3,_All2,"",_Ita2,"",_Esp2,"")</f>
        <v>0</v>
      </c>
      <c r="I19" s="26">
        <f>SUM(I20:I23)</f>
        <v>0</v>
      </c>
      <c r="J19" s="27">
        <f>COUNTIFS(_Classe,J3,_All2,"",_Ita2,"",_Esp2,"")</f>
        <v>0</v>
      </c>
      <c r="K19" s="28">
        <f>SUM(K20:K23)</f>
        <v>0</v>
      </c>
      <c r="L19" s="29">
        <f>COUNTIFS(_Classe,L3,_All2,"",_Ita2,"",_Esp2,"")</f>
        <v>0</v>
      </c>
      <c r="M19" s="30">
        <f>SUM(B19,D19,F19,H19,J19,L19)</f>
        <v>0</v>
      </c>
      <c r="N19" s="31">
        <f>SUM(C19,E19,G19,I19,K19)</f>
        <v>0</v>
      </c>
      <c r="O19" s="32">
        <f>COUNTIFS(_All2,"",_Ita2,"",_Esp2,"")</f>
        <v>0</v>
      </c>
    </row>
    <row r="20" spans="1:15" outlineLevel="1">
      <c r="A20" s="33" t="s">
        <v>142</v>
      </c>
      <c r="B20" s="34">
        <f>COUNTIFS(_Classe,B3,_All2,"",_Ita2,"",_Esp2,"",_Sport,"",_Latin,"")</f>
        <v>0</v>
      </c>
      <c r="C20" s="35"/>
      <c r="D20" s="36">
        <f>COUNTIFS(_Classe,D3,_All2,"",_Ita2,"",_Esp2,"",_Sport,"",_Latin,"")</f>
        <v>0</v>
      </c>
      <c r="E20" s="37"/>
      <c r="F20" s="38">
        <f>COUNTIFS(_Classe,F3,_All2,"",_Ita2,"",_Esp2,"",_Sport,"",_Latin,"")</f>
        <v>0</v>
      </c>
      <c r="G20" s="39"/>
      <c r="H20" s="40">
        <f>COUNTIFS(_Classe,H3,_All2,"",_Ita2,"",_Esp2,"",_Sport,"",_Latin,"")</f>
        <v>0</v>
      </c>
      <c r="I20" s="41"/>
      <c r="J20" s="42">
        <f>COUNTIFS(_Classe,J3,_All2,"",_Ita2,"",_Esp2,"",_Sport,"",_Latin,"")</f>
        <v>0</v>
      </c>
      <c r="K20" s="43"/>
      <c r="L20" s="44">
        <f>COUNTIFS(_Classe,L3,_All2,"",_Ita2,"",_Esp2,"",_Sport,"",_Latin,"")</f>
        <v>0</v>
      </c>
      <c r="M20" s="45">
        <f>SUM(B20,D20,F20,H20,J20,L20)</f>
        <v>0</v>
      </c>
      <c r="N20" s="46">
        <f>SUM(C20,E20,G20,I20,K20)</f>
        <v>0</v>
      </c>
      <c r="O20" s="47">
        <f>COUNTIFS(_All2,"",_Ita2,"",_Esp2,"",_Sport,"",_Latin,"")</f>
        <v>0</v>
      </c>
    </row>
    <row r="21" spans="1:15" outlineLevel="1">
      <c r="A21" s="33" t="s">
        <v>15</v>
      </c>
      <c r="B21" s="48">
        <f>COUNTIFS(_Classe,B3,_All2,"",_Ita2,"",_Esp2,"",_Sport,1,_Latin,"")</f>
        <v>0</v>
      </c>
      <c r="C21" s="49"/>
      <c r="D21" s="50">
        <f>COUNTIFS(_Classe,D3,_All2,"",_Ita2,"",_Esp2,"",_Sport,1,_Latin,"")</f>
        <v>0</v>
      </c>
      <c r="E21" s="51"/>
      <c r="F21" s="52">
        <f>COUNTIFS(_Classe,F3,_All2,"",_Ita2,"",_Esp2,"",_Sport,1,_Latin,"")</f>
        <v>0</v>
      </c>
      <c r="G21" s="53"/>
      <c r="H21" s="54">
        <f>COUNTIFS(_Classe,H3,_All2,"",_Ita2,"",_Esp2,"",_Sport,1,_Latin,"")</f>
        <v>0</v>
      </c>
      <c r="I21" s="55"/>
      <c r="J21" s="56">
        <f>COUNTIFS(_Classe,J3,_All2,"",_Ita2,"",_Esp2,"",_Sport,1,_Latin,"")</f>
        <v>0</v>
      </c>
      <c r="K21" s="57"/>
      <c r="L21" s="58">
        <f>COUNTIFS(_Classe,L3,_All2,"",_Ita2,"",_Esp2,"",_Sport,1,_Latin,"")</f>
        <v>0</v>
      </c>
      <c r="M21" s="59">
        <f>SUM(B21,D21,F21,H21,J21,L21)</f>
        <v>0</v>
      </c>
      <c r="N21" s="60">
        <f>SUM(C21,E21,G21,I21,K21)</f>
        <v>0</v>
      </c>
      <c r="O21" s="61">
        <f>COUNTIFS(_All2,"",_Ita2,"",_Esp2,"",_Sport,1,_Latin,"")</f>
        <v>0</v>
      </c>
    </row>
    <row r="22" spans="1:15" outlineLevel="1">
      <c r="A22" s="33" t="s">
        <v>16</v>
      </c>
      <c r="B22" s="48">
        <f>COUNTIFS(_Classe,B3,_All2,"",_Ita2,"",_Esp2,"",_Sport,"",_Latin,1)</f>
        <v>0</v>
      </c>
      <c r="C22" s="49"/>
      <c r="D22" s="50">
        <f>COUNTIFS(_Classe,D3,_All2,"",_Ita2,"",_Esp2,"",_Sport,"",_Latin,1)</f>
        <v>0</v>
      </c>
      <c r="E22" s="51"/>
      <c r="F22" s="52">
        <f>COUNTIFS(_Classe,F3,_All2,"",_Ita2,"",_Esp2,"",_Sport,"",_Latin,1)</f>
        <v>0</v>
      </c>
      <c r="G22" s="53"/>
      <c r="H22" s="54">
        <f>COUNTIFS(_Classe,H3,_All2,"",_Ita2,"",_Esp2,"",_Sport,"",_Latin,1)</f>
        <v>0</v>
      </c>
      <c r="I22" s="55"/>
      <c r="J22" s="56">
        <f>COUNTIFS(_Classe,J3,_All2,"",_Ita2,"",_Esp2,"",_Sport,"",_Latin,1)</f>
        <v>0</v>
      </c>
      <c r="K22" s="57"/>
      <c r="L22" s="58">
        <f>COUNTIFS(_Classe,L3,_All2,"",_Ita2,"",_Esp2,"",_Sport,"",_Latin,1)</f>
        <v>0</v>
      </c>
      <c r="M22" s="59">
        <f>SUM(B22,D22,F22,H22,J22,L22)</f>
        <v>0</v>
      </c>
      <c r="N22" s="60">
        <f>SUM(C22,E22,G22,I22,K22)</f>
        <v>0</v>
      </c>
      <c r="O22" s="61">
        <f>COUNTIFS(_All2,"",_Ita2,"",_Esp2,"",_Sport,"",_Latin,1)</f>
        <v>0</v>
      </c>
    </row>
    <row r="23" spans="1:15" outlineLevel="1">
      <c r="A23" s="76" t="s">
        <v>143</v>
      </c>
      <c r="B23" s="62">
        <f>COUNTIFS(_Classe,B3,_All2,"",_Ita2,"",_Esp2,"",_Sport,1,_Latin,1)</f>
        <v>0</v>
      </c>
      <c r="C23" s="63"/>
      <c r="D23" s="64">
        <f>COUNTIFS(_Classe,D3,_All2,"",_Ita2,"",_Esp2,"",_Sport,1,_Latin,1)</f>
        <v>0</v>
      </c>
      <c r="E23" s="65"/>
      <c r="F23" s="66">
        <f>COUNTIFS(_Classe,F3,_All2,"",_Ita2,"",_Esp2,"",_Sport,1,_Latin,1)</f>
        <v>0</v>
      </c>
      <c r="G23" s="67"/>
      <c r="H23" s="68">
        <f>COUNTIFS(_Classe,H3,_All2,"",_Ita2,"",_Esp2,"",_Sport,1,_Latin,1)</f>
        <v>0</v>
      </c>
      <c r="I23" s="69"/>
      <c r="J23" s="70">
        <f>COUNTIFS(_Classe,J3,_All2,"",_Ita2,"",_Esp2,"",_Sport,1,_Latin,1)</f>
        <v>0</v>
      </c>
      <c r="K23" s="71"/>
      <c r="L23" s="72">
        <f>COUNTIFS(_Classe,L3,_All2,"",_Ita2,"",_Esp2,"",_Sport,1,_Latin,1)</f>
        <v>0</v>
      </c>
      <c r="M23" s="73">
        <f>SUM(B23,D23,F23,H23,J23,L23)</f>
        <v>0</v>
      </c>
      <c r="N23" s="74">
        <f>SUM(C23,E23,G23,I23,K23)</f>
        <v>0</v>
      </c>
      <c r="O23" s="75">
        <f>COUNTIFS(_All2,"",_Ita2,"",_Esp2,"",_Sport,1,_Latin,1)</f>
        <v>0</v>
      </c>
    </row>
    <row r="24" spans="1:15" ht="10" customHeight="1"/>
    <row r="25" spans="1:15">
      <c r="A25" s="77" t="s">
        <v>144</v>
      </c>
      <c r="B25" s="19">
        <f>SUM(B4,B9,B14,B19)</f>
        <v>0</v>
      </c>
      <c r="C25" s="20">
        <f>SUM(C4,C9,C14,C19)</f>
        <v>0</v>
      </c>
      <c r="D25" s="21">
        <f>SUM(D4,D9,D14,D19)</f>
        <v>0</v>
      </c>
      <c r="E25" s="22">
        <f>SUM(E4,E9,E14,E19)</f>
        <v>0</v>
      </c>
      <c r="F25" s="23">
        <f>SUM(F4,F9,F14,F19)</f>
        <v>0</v>
      </c>
      <c r="G25" s="24">
        <f>SUM(G4,G9,G14,G19)</f>
        <v>0</v>
      </c>
      <c r="H25" s="25">
        <f>SUM(H4,H9,H14,H19)</f>
        <v>0</v>
      </c>
      <c r="I25" s="26">
        <f>SUM(I4,I9,I14,I19)</f>
        <v>0</v>
      </c>
      <c r="J25" s="27">
        <f>SUM(J4,J9,J14,J19)</f>
        <v>0</v>
      </c>
      <c r="K25" s="28">
        <f>SUM(K4,K9,K14,K19)</f>
        <v>0</v>
      </c>
      <c r="L25" s="29">
        <f>SUM(L4,L9,L14,L19)</f>
        <v>0</v>
      </c>
      <c r="M25" s="30">
        <f>SUM(M4,M9,M14,M19)</f>
        <v>0</v>
      </c>
      <c r="N25" s="31">
        <f>SUM(N4,N9,N14,N19)</f>
        <v>0</v>
      </c>
      <c r="O25" s="32">
        <f>SUM(O4,O9,O14,O19)</f>
        <v>0</v>
      </c>
    </row>
    <row r="26" spans="1:15" outlineLevel="1">
      <c r="A26" s="33" t="s">
        <v>142</v>
      </c>
      <c r="B26" s="48">
        <f>SUM(B5,B10,B15,B20)</f>
        <v>0</v>
      </c>
      <c r="C26" s="78">
        <f>SUM(C5,C10,C15,C20)</f>
        <v>0</v>
      </c>
      <c r="D26" s="50">
        <f>SUM(D5,D10,D15,D20)</f>
        <v>0</v>
      </c>
      <c r="E26" s="79">
        <f>SUM(E5,E10,E15,E20)</f>
        <v>0</v>
      </c>
      <c r="F26" s="52">
        <f>SUM(F5,F10,F15,F20)</f>
        <v>0</v>
      </c>
      <c r="G26" s="80">
        <f>SUM(G5,G10,G15,G20)</f>
        <v>0</v>
      </c>
      <c r="H26" s="54">
        <f>SUM(H5,H10,H15,H20)</f>
        <v>0</v>
      </c>
      <c r="I26" s="81">
        <f>SUM(I5,I10,I15,I20)</f>
        <v>0</v>
      </c>
      <c r="J26" s="56">
        <f>SUM(J5,J10,J15,J20)</f>
        <v>0</v>
      </c>
      <c r="K26" s="82">
        <f>SUM(K5,K10,K15,K20)</f>
        <v>0</v>
      </c>
      <c r="L26" s="58">
        <f>SUM(L5,L10,L15,L20)</f>
        <v>0</v>
      </c>
      <c r="M26" s="59">
        <f>SUM(M5,M10,M15,M20)</f>
        <v>0</v>
      </c>
      <c r="N26" s="60">
        <f>SUM(N5,N10,N15,N20)</f>
        <v>0</v>
      </c>
      <c r="O26" s="61">
        <f>SUM(O5,O10,O15,O20)</f>
        <v>0</v>
      </c>
    </row>
    <row r="27" spans="1:15" outlineLevel="1">
      <c r="A27" s="33" t="s">
        <v>15</v>
      </c>
      <c r="B27" s="48">
        <f>SUM(B6,B11,B16,B21)</f>
        <v>0</v>
      </c>
      <c r="C27" s="78">
        <f>SUM(C6,C11,C16,C21)</f>
        <v>0</v>
      </c>
      <c r="D27" s="50">
        <f>SUM(D6,D11,D16,D21)</f>
        <v>0</v>
      </c>
      <c r="E27" s="79">
        <f>SUM(E6,E11,E16,E21)</f>
        <v>0</v>
      </c>
      <c r="F27" s="52">
        <f>SUM(F6,F11,F16,F21)</f>
        <v>0</v>
      </c>
      <c r="G27" s="80">
        <f>SUM(G6,G11,G16,G21)</f>
        <v>0</v>
      </c>
      <c r="H27" s="54">
        <f>SUM(H6,H11,H16,H21)</f>
        <v>0</v>
      </c>
      <c r="I27" s="81">
        <f>SUM(I6,I11,I16,I21)</f>
        <v>0</v>
      </c>
      <c r="J27" s="56">
        <f>SUM(J6,J11,J16,J21)</f>
        <v>0</v>
      </c>
      <c r="K27" s="82">
        <f>SUM(K6,K11,K16,K21)</f>
        <v>0</v>
      </c>
      <c r="L27" s="58">
        <f>SUM(L6,L11,L16,L21)</f>
        <v>0</v>
      </c>
      <c r="M27" s="59">
        <f>SUM(M6,M11,M16,M21)</f>
        <v>0</v>
      </c>
      <c r="N27" s="60">
        <f>SUM(N6,N11,N16,N21)</f>
        <v>0</v>
      </c>
      <c r="O27" s="61">
        <f>SUM(O6,O11,O16,O21)</f>
        <v>0</v>
      </c>
    </row>
    <row r="28" spans="1:15" outlineLevel="1">
      <c r="A28" s="33" t="s">
        <v>16</v>
      </c>
      <c r="B28" s="48">
        <f>SUM(B7,B12,B17,B22)</f>
        <v>0</v>
      </c>
      <c r="C28" s="78">
        <f>SUM(C7,C12,C17,C22)</f>
        <v>0</v>
      </c>
      <c r="D28" s="50">
        <f>SUM(D7,D12,D17,D22)</f>
        <v>0</v>
      </c>
      <c r="E28" s="79">
        <f>SUM(E7,E12,E17,E22)</f>
        <v>0</v>
      </c>
      <c r="F28" s="52">
        <f>SUM(F7,F12,F17,F22)</f>
        <v>0</v>
      </c>
      <c r="G28" s="80">
        <f>SUM(G7,G12,G17,G22)</f>
        <v>0</v>
      </c>
      <c r="H28" s="54">
        <f>SUM(H7,H12,H17,H22)</f>
        <v>0</v>
      </c>
      <c r="I28" s="81">
        <f>SUM(I7,I12,I17,I22)</f>
        <v>0</v>
      </c>
      <c r="J28" s="56">
        <f>SUM(J7,J12,J17,J22)</f>
        <v>0</v>
      </c>
      <c r="K28" s="82">
        <f>SUM(K7,K12,K17,K22)</f>
        <v>0</v>
      </c>
      <c r="L28" s="58">
        <f>SUM(L7,L12,L17,L22)</f>
        <v>0</v>
      </c>
      <c r="M28" s="59">
        <f>SUM(M7,M12,M17,M22)</f>
        <v>0</v>
      </c>
      <c r="N28" s="60">
        <f>SUM(N7,N12,N17,N22)</f>
        <v>0</v>
      </c>
      <c r="O28" s="61">
        <f>SUM(O7,O12,O17,O22)</f>
        <v>0</v>
      </c>
    </row>
    <row r="29" spans="1:15" outlineLevel="1">
      <c r="A29" s="76" t="s">
        <v>143</v>
      </c>
      <c r="B29" s="62">
        <f>SUM(B8,B13,B18,B23)</f>
        <v>0</v>
      </c>
      <c r="C29" s="83">
        <f>SUM(C8,C13,C18,C23)</f>
        <v>0</v>
      </c>
      <c r="D29" s="64">
        <f>SUM(D8,D13,D18,D23)</f>
        <v>0</v>
      </c>
      <c r="E29" s="84">
        <f>SUM(E8,E13,E18,E23)</f>
        <v>0</v>
      </c>
      <c r="F29" s="66">
        <f>SUM(F8,F13,F18,F23)</f>
        <v>0</v>
      </c>
      <c r="G29" s="85">
        <f>SUM(G8,G13,G18,G23)</f>
        <v>0</v>
      </c>
      <c r="H29" s="68">
        <f>SUM(H8,H13,H18,H23)</f>
        <v>0</v>
      </c>
      <c r="I29" s="86">
        <f>SUM(I8,I13,I18,I23)</f>
        <v>0</v>
      </c>
      <c r="J29" s="70">
        <f>SUM(J8,J13,J18,J23)</f>
        <v>0</v>
      </c>
      <c r="K29" s="87">
        <f>SUM(K8,K13,K18,K23)</f>
        <v>0</v>
      </c>
      <c r="L29" s="72">
        <f>SUM(L8,L13,L18,L23)</f>
        <v>0</v>
      </c>
      <c r="M29" s="73">
        <f>SUM(M8,M13,M18,M23)</f>
        <v>0</v>
      </c>
      <c r="N29" s="74">
        <f>SUM(N8,N13,N18,N23)</f>
        <v>0</v>
      </c>
      <c r="O29" s="75">
        <f>SUM(O8,O13,O18,O23)</f>
        <v>0</v>
      </c>
    </row>
    <row r="30" spans="1:15" outlineLevel="1">
      <c r="A30" s="88" t="s">
        <v>15</v>
      </c>
      <c r="B30" s="34">
        <f>SUM(B27,B29)</f>
        <v>0</v>
      </c>
      <c r="C30" s="89">
        <f>SUM(C27,C29)</f>
        <v>0</v>
      </c>
      <c r="D30" s="36">
        <f>SUM(D27,D29)</f>
        <v>0</v>
      </c>
      <c r="E30" s="90">
        <f>SUM(E27,E29)</f>
        <v>0</v>
      </c>
      <c r="F30" s="38">
        <f>SUM(F27,F29)</f>
        <v>0</v>
      </c>
      <c r="G30" s="91">
        <f>SUM(G27,G29)</f>
        <v>0</v>
      </c>
      <c r="H30" s="40">
        <f>SUM(H27,H29)</f>
        <v>0</v>
      </c>
      <c r="I30" s="92">
        <f>SUM(I27,I29)</f>
        <v>0</v>
      </c>
      <c r="J30" s="42">
        <f>SUM(J27,J29)</f>
        <v>0</v>
      </c>
      <c r="K30" s="93">
        <f>SUM(K27,K29)</f>
        <v>0</v>
      </c>
      <c r="L30" s="44">
        <f>SUM(L27,L29)</f>
        <v>0</v>
      </c>
      <c r="M30" s="45">
        <f>SUM(M27,M29)</f>
        <v>0</v>
      </c>
      <c r="N30" s="46">
        <f>SUM(N27,N29)</f>
        <v>0</v>
      </c>
      <c r="O30" s="47">
        <f>SUM(O27,O29)</f>
        <v>0</v>
      </c>
    </row>
    <row r="31" spans="1:15" outlineLevel="1">
      <c r="A31" s="76" t="s">
        <v>16</v>
      </c>
      <c r="B31" s="62">
        <f>SUM(B28,B29)</f>
        <v>0</v>
      </c>
      <c r="C31" s="83">
        <f>SUM(C28,C29)</f>
        <v>0</v>
      </c>
      <c r="D31" s="64">
        <f>SUM(D28,D29)</f>
        <v>0</v>
      </c>
      <c r="E31" s="84">
        <f>SUM(E28,E29)</f>
        <v>0</v>
      </c>
      <c r="F31" s="66">
        <f>SUM(F28,F29)</f>
        <v>0</v>
      </c>
      <c r="G31" s="85">
        <f>SUM(G28,G29)</f>
        <v>0</v>
      </c>
      <c r="H31" s="68">
        <f>SUM(H28,H29)</f>
        <v>0</v>
      </c>
      <c r="I31" s="86">
        <f>SUM(I28,I29)</f>
        <v>0</v>
      </c>
      <c r="J31" s="70">
        <f>SUM(J28,J29)</f>
        <v>0</v>
      </c>
      <c r="K31" s="87">
        <f>SUM(K28,K29)</f>
        <v>0</v>
      </c>
      <c r="L31" s="72">
        <f>SUM(L28,L29)</f>
        <v>0</v>
      </c>
      <c r="M31" s="73">
        <f>SUM(M28,M29)</f>
        <v>0</v>
      </c>
      <c r="N31" s="74">
        <f>SUM(N28,N29)</f>
        <v>0</v>
      </c>
      <c r="O31" s="75">
        <f>SUM(O28,O29)</f>
        <v>0</v>
      </c>
    </row>
  </sheetData>
  <sheetProtection sheet="1" objects="1" scenarios="1"/>
  <mergeCells count="7">
    <mergeCell ref="A1:O1"/>
    <mergeCell ref="B3:C3"/>
    <mergeCell ref="D3:E3"/>
    <mergeCell ref="F3:G3"/>
    <mergeCell ref="H3:I3"/>
    <mergeCell ref="J3:K3"/>
    <mergeCell ref="M3:O3"/>
  </mergeCells>
  <conditionalFormatting sqref="B14:C14">
    <cfRule type="cellIs" dxfId="0" priority="10" operator="equal">
      <formula>0</formula>
    </cfRule>
  </conditionalFormatting>
  <conditionalFormatting sqref="B19:C19">
    <cfRule type="cellIs" dxfId="0" priority="11" operator="equal">
      <formula>0</formula>
    </cfRule>
  </conditionalFormatting>
  <conditionalFormatting sqref="B25:C25">
    <cfRule type="cellIs" dxfId="0" priority="12" operator="equal">
      <formula>0</formula>
    </cfRule>
  </conditionalFormatting>
  <conditionalFormatting sqref="B4:B31">
    <cfRule type="cellIs" dxfId="38" priority="1" operator="notEqual">
      <formula>C4</formula>
    </cfRule>
    <cfRule type="cellIs" dxfId="1" priority="13" operator="equal">
      <formula>0</formula>
    </cfRule>
  </conditionalFormatting>
  <conditionalFormatting sqref="B4:C4">
    <cfRule type="cellIs" dxfId="0" priority="8" operator="equal">
      <formula>0</formula>
    </cfRule>
  </conditionalFormatting>
  <conditionalFormatting sqref="B9:C9">
    <cfRule type="cellIs" dxfId="0" priority="9" operator="equal">
      <formula>0</formula>
    </cfRule>
  </conditionalFormatting>
  <conditionalFormatting sqref="D14:E14">
    <cfRule type="cellIs" dxfId="2" priority="16" operator="equal">
      <formula>0</formula>
    </cfRule>
  </conditionalFormatting>
  <conditionalFormatting sqref="D19:E19">
    <cfRule type="cellIs" dxfId="2" priority="17" operator="equal">
      <formula>0</formula>
    </cfRule>
  </conditionalFormatting>
  <conditionalFormatting sqref="D25:E25">
    <cfRule type="cellIs" dxfId="2" priority="18" operator="equal">
      <formula>0</formula>
    </cfRule>
  </conditionalFormatting>
  <conditionalFormatting sqref="D4:D31">
    <cfRule type="cellIs" dxfId="38" priority="2" operator="notEqual">
      <formula>E4</formula>
    </cfRule>
    <cfRule type="cellIs" dxfId="3" priority="19" operator="equal">
      <formula>0</formula>
    </cfRule>
  </conditionalFormatting>
  <conditionalFormatting sqref="D4:E4">
    <cfRule type="cellIs" dxfId="2" priority="14" operator="equal">
      <formula>0</formula>
    </cfRule>
  </conditionalFormatting>
  <conditionalFormatting sqref="D9:E9">
    <cfRule type="cellIs" dxfId="2" priority="15" operator="equal">
      <formula>0</formula>
    </cfRule>
  </conditionalFormatting>
  <conditionalFormatting sqref="F14:G14">
    <cfRule type="cellIs" dxfId="4" priority="22" operator="equal">
      <formula>0</formula>
    </cfRule>
  </conditionalFormatting>
  <conditionalFormatting sqref="F19:G19">
    <cfRule type="cellIs" dxfId="4" priority="23" operator="equal">
      <formula>0</formula>
    </cfRule>
  </conditionalFormatting>
  <conditionalFormatting sqref="F25:G25">
    <cfRule type="cellIs" dxfId="4" priority="24" operator="equal">
      <formula>0</formula>
    </cfRule>
  </conditionalFormatting>
  <conditionalFormatting sqref="F4:F31">
    <cfRule type="cellIs" dxfId="38" priority="3" operator="notEqual">
      <formula>G4</formula>
    </cfRule>
    <cfRule type="cellIs" dxfId="5" priority="25" operator="equal">
      <formula>0</formula>
    </cfRule>
  </conditionalFormatting>
  <conditionalFormatting sqref="F4:G4">
    <cfRule type="cellIs" dxfId="4" priority="20" operator="equal">
      <formula>0</formula>
    </cfRule>
  </conditionalFormatting>
  <conditionalFormatting sqref="F9:G9">
    <cfRule type="cellIs" dxfId="4" priority="21" operator="equal">
      <formula>0</formula>
    </cfRule>
  </conditionalFormatting>
  <conditionalFormatting sqref="H14:I14">
    <cfRule type="cellIs" dxfId="6" priority="28" operator="equal">
      <formula>0</formula>
    </cfRule>
  </conditionalFormatting>
  <conditionalFormatting sqref="H19:I19">
    <cfRule type="cellIs" dxfId="6" priority="29" operator="equal">
      <formula>0</formula>
    </cfRule>
  </conditionalFormatting>
  <conditionalFormatting sqref="H25:I25">
    <cfRule type="cellIs" dxfId="6" priority="30" operator="equal">
      <formula>0</formula>
    </cfRule>
  </conditionalFormatting>
  <conditionalFormatting sqref="H4:H31">
    <cfRule type="cellIs" dxfId="38" priority="4" operator="notEqual">
      <formula>I4</formula>
    </cfRule>
    <cfRule type="cellIs" dxfId="7" priority="31" operator="equal">
      <formula>0</formula>
    </cfRule>
  </conditionalFormatting>
  <conditionalFormatting sqref="H4:I4">
    <cfRule type="cellIs" dxfId="6" priority="26" operator="equal">
      <formula>0</formula>
    </cfRule>
  </conditionalFormatting>
  <conditionalFormatting sqref="H9:I9">
    <cfRule type="cellIs" dxfId="6" priority="27" operator="equal">
      <formula>0</formula>
    </cfRule>
  </conditionalFormatting>
  <conditionalFormatting sqref="J14:K14">
    <cfRule type="cellIs" dxfId="7" priority="34" operator="equal">
      <formula>0</formula>
    </cfRule>
  </conditionalFormatting>
  <conditionalFormatting sqref="J19:K19">
    <cfRule type="cellIs" dxfId="7" priority="35" operator="equal">
      <formula>0</formula>
    </cfRule>
  </conditionalFormatting>
  <conditionalFormatting sqref="J25:K25">
    <cfRule type="cellIs" dxfId="7" priority="36" operator="equal">
      <formula>0</formula>
    </cfRule>
  </conditionalFormatting>
  <conditionalFormatting sqref="J4:J31">
    <cfRule type="cellIs" dxfId="38" priority="5" operator="notEqual">
      <formula>K4</formula>
    </cfRule>
    <cfRule type="cellIs" dxfId="8" priority="37" operator="equal">
      <formula>0</formula>
    </cfRule>
  </conditionalFormatting>
  <conditionalFormatting sqref="J4:K4">
    <cfRule type="cellIs" dxfId="7" priority="32" operator="equal">
      <formula>0</formula>
    </cfRule>
  </conditionalFormatting>
  <conditionalFormatting sqref="J9:K9">
    <cfRule type="cellIs" dxfId="7" priority="33" operator="equal">
      <formula>0</formula>
    </cfRule>
  </conditionalFormatting>
  <conditionalFormatting sqref="L14">
    <cfRule type="cellIs" dxfId="9" priority="40" operator="equal">
      <formula>0</formula>
    </cfRule>
  </conditionalFormatting>
  <conditionalFormatting sqref="L19">
    <cfRule type="cellIs" dxfId="9" priority="41" operator="equal">
      <formula>0</formula>
    </cfRule>
  </conditionalFormatting>
  <conditionalFormatting sqref="L25">
    <cfRule type="cellIs" dxfId="9" priority="42" operator="equal">
      <formula>0</formula>
    </cfRule>
  </conditionalFormatting>
  <conditionalFormatting sqref="L4">
    <cfRule type="cellIs" dxfId="9" priority="38" operator="equal">
      <formula>0</formula>
    </cfRule>
  </conditionalFormatting>
  <conditionalFormatting sqref="L4:L31">
    <cfRule type="cellIs" dxfId="10" priority="43" operator="equal">
      <formula>0</formula>
    </cfRule>
  </conditionalFormatting>
  <conditionalFormatting sqref="L9">
    <cfRule type="cellIs" dxfId="9" priority="39" operator="equal">
      <formula>0</formula>
    </cfRule>
  </conditionalFormatting>
  <conditionalFormatting sqref="M14:O14">
    <cfRule type="cellIs" dxfId="13" priority="46" operator="equal">
      <formula>0</formula>
    </cfRule>
  </conditionalFormatting>
  <conditionalFormatting sqref="M19:O19">
    <cfRule type="cellIs" dxfId="13" priority="47" operator="equal">
      <formula>0</formula>
    </cfRule>
  </conditionalFormatting>
  <conditionalFormatting sqref="M25:O25">
    <cfRule type="cellIs" dxfId="13" priority="48" operator="equal">
      <formula>0</formula>
    </cfRule>
  </conditionalFormatting>
  <conditionalFormatting sqref="M4:M31">
    <cfRule type="cellIs" dxfId="38" priority="6" operator="notEqual">
      <formula>N4</formula>
    </cfRule>
  </conditionalFormatting>
  <conditionalFormatting sqref="M4:O31">
    <cfRule type="cellIs" dxfId="14" priority="49" operator="equal">
      <formula>0</formula>
    </cfRule>
  </conditionalFormatting>
  <conditionalFormatting sqref="M4:O4">
    <cfRule type="cellIs" dxfId="13" priority="44" operator="equal">
      <formula>0</formula>
    </cfRule>
  </conditionalFormatting>
  <conditionalFormatting sqref="M9:O9">
    <cfRule type="cellIs" dxfId="13" priority="45" operator="equal">
      <formula>0</formula>
    </cfRule>
  </conditionalFormatting>
  <conditionalFormatting sqref="N4:N31">
    <cfRule type="cellIs" dxfId="39" priority="7" operator="notEqual">
      <formula>O4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outlinePr summaryBelow="0"/>
  </sheetPr>
  <dimension ref="A1:O150"/>
  <sheetViews>
    <sheetView workbookViewId="0">
      <pane ySplit="19" topLeftCell="A20" activePane="bottomLeft" state="frozen"/>
      <selection pane="bottomLeft"/>
    </sheetView>
  </sheetViews>
  <sheetFormatPr defaultRowHeight="15" outlineLevelRow="1" x14ac:dyDescent="0.25"/>
  <cols>
    <col min="1" max="1" width="20.7109375" customWidth="1"/>
    <col min="2" max="2" width="15.7109375" customWidth="1"/>
    <col min="3" max="11" width="6.7109375" customWidth="1"/>
    <col min="12" max="12" width="6.7109375" customWidth="1"/>
    <col min="13" max="13" width="15.7109375" customWidth="1"/>
    <col min="14" max="14" width="6.7109375" customWidth="1"/>
    <col min="15" max="15" width="25.7109375" customWidth="1"/>
  </cols>
  <sheetData>
    <row r="1" spans="1:10" x14ac:dyDescent="0.25">
      <c r="A1" s="2" t="s">
        <v>0</v>
      </c>
      <c r="B1" s="10" t="s">
        <v>4</v>
      </c>
      <c r="C1" s="94">
        <v>10</v>
      </c>
      <c r="D1" s="95">
        <v>11</v>
      </c>
      <c r="E1" s="96">
        <v>12</v>
      </c>
      <c r="F1" s="97">
        <v>13</v>
      </c>
      <c r="G1" s="98">
        <v>14</v>
      </c>
      <c r="H1" s="16" t="s">
        <v>21</v>
      </c>
      <c r="I1" s="99" t="s">
        <v>22</v>
      </c>
      <c r="J1" s="100" t="s">
        <v>23</v>
      </c>
    </row>
    <row r="2" spans="1:10" x14ac:dyDescent="0.25">
      <c r="A2" s="101" t="s">
        <v>1</v>
      </c>
      <c r="B2" s="102" t="s">
        <v>5</v>
      </c>
      <c r="C2" s="103">
        <f>COUNTIF(_Classe,C1)</f>
        <v>0</v>
      </c>
      <c r="D2" s="104">
        <f>COUNTIF(_Classe,D1)</f>
        <v>0</v>
      </c>
      <c r="E2" s="105">
        <f>COUNTIF(_Classe,E1)</f>
        <v>0</v>
      </c>
      <c r="F2" s="106">
        <f>COUNTIF(_Classe,F1)</f>
        <v>0</v>
      </c>
      <c r="G2" s="107">
        <f>COUNTIF(_Classe,G1)</f>
        <v>0</v>
      </c>
      <c r="H2" s="108">
        <f>COUNTIF(_Classe,"NA")</f>
        <v>0</v>
      </c>
      <c r="I2" s="109">
        <f>COUNTBLANK(_Classe)</f>
        <v>0</v>
      </c>
      <c r="J2" s="110">
        <f>SUM(C2:I2)</f>
        <v>0</v>
      </c>
    </row>
    <row r="3" spans="1:10" outlineLevel="1" x14ac:dyDescent="0.25">
      <c r="A3" s="101" t="s">
        <v>2</v>
      </c>
      <c r="B3" s="111" t="s">
        <v>6</v>
      </c>
      <c r="C3" s="112">
        <f>COUNTIFS(_Classe,C1,_Sexe,B3)</f>
        <v>0</v>
      </c>
      <c r="D3" s="113">
        <f>COUNTIFS(_Classe,D1,_Sexe,B3)</f>
        <v>0</v>
      </c>
      <c r="E3" s="114">
        <f>COUNTIFS(_Classe,E1,_Sexe,B3)</f>
        <v>0</v>
      </c>
      <c r="F3" s="115">
        <f>COUNTIFS(_Classe,F1,_Sexe,B3)</f>
        <v>0</v>
      </c>
      <c r="G3" s="116">
        <f>COUNTIFS(_Classe,G1,_Sexe,B3)</f>
        <v>0</v>
      </c>
      <c r="H3" s="117">
        <f>COUNTIFS(_Classe,"NA",_Sexe,B3)</f>
        <v>0</v>
      </c>
      <c r="I3" s="118">
        <f>COUNTIFS(_Classe,"",_Sexe,B3)</f>
        <v>0</v>
      </c>
      <c r="J3" s="119">
        <f>SUM(C3:I3)</f>
        <v>0</v>
      </c>
    </row>
    <row r="4" spans="1:10" outlineLevel="1" x14ac:dyDescent="0.25">
      <c r="A4" s="101" t="s">
        <v>3</v>
      </c>
      <c r="B4" s="120" t="s">
        <v>7</v>
      </c>
      <c r="C4" s="121">
        <f>COUNTIFS(_Classe,C1,_Sexe,B4)</f>
        <v>0</v>
      </c>
      <c r="D4" s="122">
        <f>COUNTIFS(_Classe,D1,_Sexe,B4)</f>
        <v>0</v>
      </c>
      <c r="E4" s="123">
        <f>COUNTIFS(_Classe,E1,_Sexe,B4)</f>
        <v>0</v>
      </c>
      <c r="F4" s="124">
        <f>COUNTIFS(_Classe,F1,_Sexe,B4)</f>
        <v>0</v>
      </c>
      <c r="G4" s="125">
        <f>COUNTIFS(_Classe,G1,_Sexe,B4)</f>
        <v>0</v>
      </c>
      <c r="H4" s="126">
        <f>COUNTIFS(_Classe,"NA",_Sexe,B4)</f>
        <v>0</v>
      </c>
      <c r="I4" s="127">
        <f>COUNTIFS(_Classe,"",_Sexe,B4)</f>
        <v>0</v>
      </c>
      <c r="J4" s="128">
        <f>SUM(C4:I4)</f>
        <v>0</v>
      </c>
    </row>
    <row r="5" spans="1:10" outlineLevel="1" x14ac:dyDescent="0.25">
      <c r="B5" s="129" t="s">
        <v>8</v>
      </c>
      <c r="C5" s="103">
        <f>IF(C2&lt;&gt;0,ROUND(C3/C2*100,0),"*")</f>
        <v>0</v>
      </c>
      <c r="D5" s="104">
        <f>IF(D2&lt;&gt;0,ROUND(D3/D2*100,0),"*")</f>
        <v>0</v>
      </c>
      <c r="E5" s="105">
        <f>IF(E2&lt;&gt;0,ROUND(E3/E2*100,0),"*")</f>
        <v>0</v>
      </c>
      <c r="F5" s="106">
        <f>IF(F2&lt;&gt;0,ROUND(F3/F2*100,0),"*")</f>
        <v>0</v>
      </c>
      <c r="G5" s="107">
        <f>IF(G2&lt;&gt;0,ROUND(G3/G2*100,0),"*")</f>
        <v>0</v>
      </c>
      <c r="H5" s="108">
        <f>IF(H2&lt;&gt;0,ROUND(H3/H2*100,0),"*")</f>
        <v>0</v>
      </c>
      <c r="I5" s="109">
        <f>IF(I2&lt;&gt;0,ROUND(I3/I2*100,0),"*")</f>
        <v>0</v>
      </c>
      <c r="J5" s="110">
        <f>IF(J2&lt;&gt;0,ROUND(J3/J2*100,0),"*")</f>
        <v>0</v>
      </c>
    </row>
    <row r="6" spans="1:10" x14ac:dyDescent="0.25">
      <c r="B6" s="130" t="s">
        <v>9</v>
      </c>
      <c r="C6" s="112">
        <f>COUNTIFS(_Classe,C1,_Niveau,B6)</f>
        <v>0</v>
      </c>
      <c r="D6" s="113">
        <f>COUNTIFS(_Classe,D1,_Niveau,B6)</f>
        <v>0</v>
      </c>
      <c r="E6" s="114">
        <f>COUNTIFS(_Classe,E1,_Niveau,B6)</f>
        <v>0</v>
      </c>
      <c r="F6" s="115">
        <f>COUNTIFS(_Classe,F1,_Niveau,B6)</f>
        <v>0</v>
      </c>
      <c r="G6" s="116">
        <f>COUNTIFS(_Classe,G1,_Niveau,B6)</f>
        <v>0</v>
      </c>
      <c r="H6" s="117">
        <f>COUNTIFS(_Classe,"NA",_Niveau,B6)</f>
        <v>0</v>
      </c>
      <c r="I6" s="118">
        <f>COUNTIFS(_Classe,"",_Niveau,B6)</f>
        <v>0</v>
      </c>
      <c r="J6" s="119">
        <f>SUM(C6:I6)</f>
        <v>0</v>
      </c>
    </row>
    <row r="7" spans="1:10" outlineLevel="1" x14ac:dyDescent="0.25">
      <c r="B7" s="131" t="s">
        <v>10</v>
      </c>
      <c r="C7" s="132">
        <f>COUNTIFS(_Classe,C1,_Niveau,B7)</f>
        <v>0</v>
      </c>
      <c r="D7" s="133">
        <f>COUNTIFS(_Classe,D1,_Niveau,B7)</f>
        <v>0</v>
      </c>
      <c r="E7" s="134">
        <f>COUNTIFS(_Classe,E1,_Niveau,B7)</f>
        <v>0</v>
      </c>
      <c r="F7" s="135">
        <f>COUNTIFS(_Classe,F1,_Niveau,B7)</f>
        <v>0</v>
      </c>
      <c r="G7" s="136">
        <f>COUNTIFS(_Classe,G1,_Niveau,B7)</f>
        <v>0</v>
      </c>
      <c r="H7" s="137">
        <f>COUNTIFS(_Classe,"NA",_Niveau,B7)</f>
        <v>0</v>
      </c>
      <c r="I7" s="138">
        <f>COUNTIFS(_Classe,"",_Niveau,B7)</f>
        <v>0</v>
      </c>
      <c r="J7" s="139">
        <f>SUM(C7:I7)</f>
        <v>0</v>
      </c>
    </row>
    <row r="8" spans="1:10" outlineLevel="1" x14ac:dyDescent="0.25">
      <c r="B8" s="140" t="s">
        <v>11</v>
      </c>
      <c r="C8" s="132">
        <f>COUNTIFS(_Classe,C1,_Niveau,B8)</f>
        <v>0</v>
      </c>
      <c r="D8" s="133">
        <f>COUNTIFS(_Classe,D1,_Niveau,B8)</f>
        <v>0</v>
      </c>
      <c r="E8" s="134">
        <f>COUNTIFS(_Classe,E1,_Niveau,B8)</f>
        <v>0</v>
      </c>
      <c r="F8" s="135">
        <f>COUNTIFS(_Classe,F1,_Niveau,B8)</f>
        <v>0</v>
      </c>
      <c r="G8" s="136">
        <f>COUNTIFS(_Classe,G1,_Niveau,B8)</f>
        <v>0</v>
      </c>
      <c r="H8" s="137">
        <f>COUNTIFS(_Classe,"NA",_Niveau,B8)</f>
        <v>0</v>
      </c>
      <c r="I8" s="138">
        <f>COUNTIFS(_Classe,"",_Niveau,B8)</f>
        <v>0</v>
      </c>
      <c r="J8" s="139">
        <f>SUM(C8:I8)</f>
        <v>0</v>
      </c>
    </row>
    <row r="9" spans="1:10" outlineLevel="1" x14ac:dyDescent="0.25">
      <c r="B9" s="141" t="s">
        <v>12</v>
      </c>
      <c r="C9" s="132">
        <f>COUNTIFS(_Classe,C1,_Niveau,B9)</f>
        <v>0</v>
      </c>
      <c r="D9" s="133">
        <f>COUNTIFS(_Classe,D1,_Niveau,B9)</f>
        <v>0</v>
      </c>
      <c r="E9" s="134">
        <f>COUNTIFS(_Classe,E1,_Niveau,B9)</f>
        <v>0</v>
      </c>
      <c r="F9" s="135">
        <f>COUNTIFS(_Classe,F1,_Niveau,B9)</f>
        <v>0</v>
      </c>
      <c r="G9" s="136">
        <f>COUNTIFS(_Classe,G1,_Niveau,B9)</f>
        <v>0</v>
      </c>
      <c r="H9" s="137">
        <f>COUNTIFS(_Classe,"NA",_Niveau,B9)</f>
        <v>0</v>
      </c>
      <c r="I9" s="138">
        <f>COUNTIFS(_Classe,"",_Niveau,B9)</f>
        <v>0</v>
      </c>
      <c r="J9" s="139">
        <f>SUM(C9:I9)</f>
        <v>0</v>
      </c>
    </row>
    <row r="10" spans="1:10" outlineLevel="1" x14ac:dyDescent="0.25">
      <c r="B10" s="142" t="s">
        <v>13</v>
      </c>
      <c r="C10" s="121">
        <f>COUNTIFS(_Classe,C1,_Niveau,B10)</f>
        <v>0</v>
      </c>
      <c r="D10" s="122">
        <f>COUNTIFS(_Classe,D1,_Niveau,B10)</f>
        <v>0</v>
      </c>
      <c r="E10" s="123">
        <f>COUNTIFS(_Classe,E1,_Niveau,B10)</f>
        <v>0</v>
      </c>
      <c r="F10" s="124">
        <f>COUNTIFS(_Classe,F1,_Niveau,B10)</f>
        <v>0</v>
      </c>
      <c r="G10" s="125">
        <f>COUNTIFS(_Classe,G1,_Niveau,B10)</f>
        <v>0</v>
      </c>
      <c r="H10" s="126">
        <f>COUNTIFS(_Classe,"NA",_Niveau,B10)</f>
        <v>0</v>
      </c>
      <c r="I10" s="127">
        <f>COUNTIFS(_Classe,"",_Niveau,B10)</f>
        <v>0</v>
      </c>
      <c r="J10" s="128">
        <f>SUM(C10:I10)</f>
        <v>0</v>
      </c>
    </row>
    <row r="11" spans="1:10" x14ac:dyDescent="0.25">
      <c r="B11" s="143" t="s">
        <v>14</v>
      </c>
      <c r="C11" s="144">
        <f>COUNTIFS(_Classe,C1,_Retard,"R")</f>
        <v>0</v>
      </c>
      <c r="D11" s="145">
        <f>COUNTIFS(_Classe,D1,_Retard,"R")</f>
        <v>0</v>
      </c>
      <c r="E11" s="146">
        <f>COUNTIFS(_Classe,E1,_Retard,"R")</f>
        <v>0</v>
      </c>
      <c r="F11" s="147">
        <f>COUNTIFS(_Classe,F1,_Retard,"R")</f>
        <v>0</v>
      </c>
      <c r="G11" s="148">
        <f>COUNTIFS(_Classe,G1,_Retard,"R")</f>
        <v>0</v>
      </c>
      <c r="H11" s="149">
        <f>COUNTIFS(_Classe,"NA",_Retard,"R")</f>
        <v>0</v>
      </c>
      <c r="I11" s="150">
        <f>COUNTIFS(_Classe,"",_Retard,"R")</f>
        <v>0</v>
      </c>
      <c r="J11" s="110">
        <f>SUM(C11:I11)</f>
        <v>0</v>
      </c>
    </row>
    <row r="12" spans="1:10" outlineLevel="1" x14ac:dyDescent="0.25">
      <c r="B12" s="151" t="s">
        <v>15</v>
      </c>
      <c r="C12" s="112">
        <f>COUNTIFS(_Classe,C1,_Sport,1)</f>
        <v>0</v>
      </c>
      <c r="D12" s="113">
        <f>COUNTIFS(_Classe,D1,_Sport,1)</f>
        <v>0</v>
      </c>
      <c r="E12" s="114">
        <f>COUNTIFS(_Classe,E1,_Sport,1)</f>
        <v>0</v>
      </c>
      <c r="F12" s="115">
        <f>COUNTIFS(_Classe,F1,_Sport,1)</f>
        <v>0</v>
      </c>
      <c r="G12" s="116">
        <f>COUNTIFS(_Classe,G1,_Sport,1)</f>
        <v>0</v>
      </c>
      <c r="H12" s="117">
        <f>COUNTIFS(_Classe,"NA",_Sport,1)</f>
        <v>0</v>
      </c>
      <c r="I12" s="118">
        <f>COUNTIFS(_Classe,"",_Sport,1)</f>
        <v>0</v>
      </c>
      <c r="J12" s="119">
        <f>SUM(C12:I12)</f>
        <v>0</v>
      </c>
    </row>
    <row r="13" spans="1:10" outlineLevel="1" x14ac:dyDescent="0.25">
      <c r="B13" s="152" t="s">
        <v>16</v>
      </c>
      <c r="C13" s="121">
        <f>COUNTIFS(_Classe,C1,_Latin,1)</f>
        <v>0</v>
      </c>
      <c r="D13" s="122">
        <f>COUNTIFS(_Classe,D1,_Latin,1)</f>
        <v>0</v>
      </c>
      <c r="E13" s="123">
        <f>COUNTIFS(_Classe,E1,_Latin,1)</f>
        <v>0</v>
      </c>
      <c r="F13" s="124">
        <f>COUNTIFS(_Classe,F1,_Latin,1)</f>
        <v>0</v>
      </c>
      <c r="G13" s="125">
        <f>COUNTIFS(_Classe,G1,_Latin,1)</f>
        <v>0</v>
      </c>
      <c r="H13" s="126">
        <f>COUNTIFS(_Classe,"NA",_Latin,1)</f>
        <v>0</v>
      </c>
      <c r="I13" s="127">
        <f>COUNTIFS(_Classe,"",_Latin,1)</f>
        <v>0</v>
      </c>
      <c r="J13" s="128">
        <f>SUM(C13:I13)</f>
        <v>0</v>
      </c>
    </row>
    <row r="14" spans="1:10" x14ac:dyDescent="0.25">
      <c r="B14" s="153" t="s">
        <v>17</v>
      </c>
      <c r="C14" s="112">
        <f>COUNTIFS(_Classe,C1,_All2,1)</f>
        <v>0</v>
      </c>
      <c r="D14" s="113">
        <f>COUNTIFS(_Classe,D1,_All2,1)</f>
        <v>0</v>
      </c>
      <c r="E14" s="114">
        <f>COUNTIFS(_Classe,E1,_All2,1)</f>
        <v>0</v>
      </c>
      <c r="F14" s="115">
        <f>COUNTIFS(_Classe,F1,_All2,1)</f>
        <v>0</v>
      </c>
      <c r="G14" s="116">
        <f>COUNTIFS(_Classe,G1,_All2,1)</f>
        <v>0</v>
      </c>
      <c r="H14" s="117">
        <f>COUNTIFS(_Classe,"NA",_All2,1)</f>
        <v>0</v>
      </c>
      <c r="I14" s="118">
        <f>COUNTIFS(_Classe,"",_All2,1)</f>
        <v>0</v>
      </c>
      <c r="J14" s="119">
        <f>SUM(C14:I14)</f>
        <v>0</v>
      </c>
    </row>
    <row r="15" spans="1:10" outlineLevel="1" x14ac:dyDescent="0.25">
      <c r="B15" s="154" t="s">
        <v>18</v>
      </c>
      <c r="C15" s="132">
        <f>COUNTIFS(_Classe,C1,_Ita2,1)</f>
        <v>0</v>
      </c>
      <c r="D15" s="133">
        <f>COUNTIFS(_Classe,D1,_Ita2,1)</f>
        <v>0</v>
      </c>
      <c r="E15" s="134">
        <f>COUNTIFS(_Classe,E1,_Ita2,1)</f>
        <v>0</v>
      </c>
      <c r="F15" s="135">
        <f>COUNTIFS(_Classe,F1,_Ita2,1)</f>
        <v>0</v>
      </c>
      <c r="G15" s="136">
        <f>COUNTIFS(_Classe,G1,_Ita2,1)</f>
        <v>0</v>
      </c>
      <c r="H15" s="137">
        <f>COUNTIFS(_Classe,"NA",_Ita2,1)</f>
        <v>0</v>
      </c>
      <c r="I15" s="138">
        <f>COUNTIFS(_Classe,"",_Ita2,1)</f>
        <v>0</v>
      </c>
      <c r="J15" s="139">
        <f>SUM(C15:I15)</f>
        <v>0</v>
      </c>
    </row>
    <row r="16" spans="1:10" outlineLevel="1" x14ac:dyDescent="0.25">
      <c r="B16" s="154" t="s">
        <v>19</v>
      </c>
      <c r="C16" s="132">
        <f>COUNTIFS(_Classe,C1,_Esp2,1)</f>
        <v>0</v>
      </c>
      <c r="D16" s="133">
        <f>COUNTIFS(_Classe,D1,_Esp2,1)</f>
        <v>0</v>
      </c>
      <c r="E16" s="134">
        <f>COUNTIFS(_Classe,E1,_Esp2,1)</f>
        <v>0</v>
      </c>
      <c r="F16" s="135">
        <f>COUNTIFS(_Classe,F1,_Esp2,1)</f>
        <v>0</v>
      </c>
      <c r="G16" s="136">
        <f>COUNTIFS(_Classe,G1,_Esp2,1)</f>
        <v>0</v>
      </c>
      <c r="H16" s="137">
        <f>COUNTIFS(_Classe,"NA",_Esp2,1)</f>
        <v>0</v>
      </c>
      <c r="I16" s="138">
        <f>COUNTIFS(_Classe,"",_Esp2,1)</f>
        <v>0</v>
      </c>
      <c r="J16" s="128">
        <f>SUM(C16:I16)</f>
        <v>0</v>
      </c>
    </row>
    <row r="17" spans="1:15" outlineLevel="1" x14ac:dyDescent="0.25">
      <c r="B17" s="155" t="s">
        <v>20</v>
      </c>
      <c r="C17" s="144">
        <f>COUNTIFS(_Classe,C1,_All2,"",_Ita2,"",_Esp2,"")</f>
        <v>0</v>
      </c>
      <c r="D17" s="145">
        <f>COUNTIFS(_Classe,D1,_All2,"",_Ita2,"",_Esp2,"")</f>
        <v>0</v>
      </c>
      <c r="E17" s="146">
        <f>COUNTIFS(_Classe,E1,_All2,"",_Ita2,"",_Esp2,"")</f>
        <v>0</v>
      </c>
      <c r="F17" s="147">
        <f>COUNTIFS(_Classe,F1,_All2,"",_Ita2,"",_Esp2,"")</f>
        <v>0</v>
      </c>
      <c r="G17" s="148">
        <f>COUNTIFS(_Classe,G1,_All2,"",_Ita2,"",_Esp2,"")</f>
        <v>0</v>
      </c>
      <c r="H17" s="149">
        <f>COUNTIFS(_Classe,"NA",_All2,"",_Ita2,"",_Esp2,"")</f>
        <v>0</v>
      </c>
      <c r="I17" s="150">
        <f>COUNTIFS(_Classe,"",_All2,"",_Ita2,"",_Esp2,"")</f>
        <v>0</v>
      </c>
      <c r="J17" s="110">
        <f>SUM(C17:I17)</f>
        <v>0</v>
      </c>
    </row>
    <row r="18" spans="1:15" ht="5" customHeight="1" x14ac:dyDescent="0.25">
      <c r="B18" s="156"/>
      <c r="C18" s="156"/>
      <c r="D18" s="156"/>
      <c r="E18" s="156"/>
      <c r="F18" s="156"/>
      <c r="G18" s="156"/>
      <c r="H18" s="156"/>
      <c r="I18" s="156"/>
      <c r="J18" s="156"/>
    </row>
    <row r="19" spans="1:15" s="157" customFormat="1" ht="20" customHeight="1" x14ac:dyDescent="0.25">
      <c r="A19" s="158" t="s">
        <v>24</v>
      </c>
      <c r="B19" s="159" t="s">
        <v>25</v>
      </c>
      <c r="C19" s="159" t="s">
        <v>26</v>
      </c>
      <c r="D19" s="159" t="s">
        <v>27</v>
      </c>
      <c r="E19" s="159" t="s">
        <v>28</v>
      </c>
      <c r="F19" s="159" t="s">
        <v>29</v>
      </c>
      <c r="G19" s="160" t="s">
        <v>4</v>
      </c>
      <c r="H19" s="159" t="s">
        <v>30</v>
      </c>
      <c r="I19" s="161" t="s">
        <v>17</v>
      </c>
      <c r="J19" s="161" t="s">
        <v>18</v>
      </c>
      <c r="K19" s="161" t="s">
        <v>19</v>
      </c>
      <c r="L19" s="162" t="s">
        <v>15</v>
      </c>
      <c r="M19" s="162" t="s">
        <v>31</v>
      </c>
      <c r="N19" s="163" t="s">
        <v>16</v>
      </c>
      <c r="O19" s="164" t="s">
        <v>32</v>
      </c>
    </row>
    <row r="20" spans="1:15" s="157" customFormat="1" x14ac:dyDescent="0.25">
      <c r="A20" s="165" t="s">
        <v>33</v>
      </c>
      <c r="B20" s="166" t="s">
        <v>34</v>
      </c>
      <c r="C20" s="167" t="s">
        <v>6</v>
      </c>
      <c r="D20" s="167" t="s">
        <v>14</v>
      </c>
      <c r="E20" s="167" t="s">
        <v>10</v>
      </c>
      <c r="F20" s="167" t="s">
        <v>12</v>
      </c>
      <c r="G20" s="167"/>
      <c r="H20" s="167" t="s">
        <v>35</v>
      </c>
      <c r="I20" s="167">
        <v>1</v>
      </c>
      <c r="J20" s="167"/>
      <c r="K20" s="167"/>
      <c r="L20" s="167"/>
      <c r="M20" s="167"/>
      <c r="N20" s="167"/>
      <c r="O20" s="168" t="s">
        <v>36</v>
      </c>
    </row>
    <row r="21" spans="1:15" s="157" customFormat="1" x14ac:dyDescent="0.25">
      <c r="A21" s="165" t="s">
        <v>37</v>
      </c>
      <c r="B21" s="166" t="s">
        <v>38</v>
      </c>
      <c r="C21" s="167" t="s">
        <v>6</v>
      </c>
      <c r="D21" s="167"/>
      <c r="E21" s="167" t="s">
        <v>10</v>
      </c>
      <c r="F21" s="167" t="s">
        <v>10</v>
      </c>
      <c r="G21" s="167">
        <v>13</v>
      </c>
      <c r="H21" s="167" t="s">
        <v>39</v>
      </c>
      <c r="I21" s="167"/>
      <c r="J21" s="167">
        <v>1</v>
      </c>
      <c r="K21" s="167"/>
      <c r="L21" s="167"/>
      <c r="M21" s="167"/>
      <c r="N21" s="167"/>
      <c r="O21" s="168" t="s">
        <v>40</v>
      </c>
    </row>
    <row r="22" spans="1:15" s="157" customFormat="1" x14ac:dyDescent="0.25">
      <c r="A22" s="165" t="s">
        <v>41</v>
      </c>
      <c r="B22" s="166" t="s">
        <v>42</v>
      </c>
      <c r="C22" s="167" t="s">
        <v>7</v>
      </c>
      <c r="D22" s="167"/>
      <c r="E22" s="167" t="s">
        <v>9</v>
      </c>
      <c r="F22" s="167" t="s">
        <v>9</v>
      </c>
      <c r="G22" s="167"/>
      <c r="H22" s="167" t="s">
        <v>43</v>
      </c>
      <c r="I22" s="167"/>
      <c r="J22" s="167">
        <v>1</v>
      </c>
      <c r="K22" s="167"/>
      <c r="L22" s="167">
        <v>1</v>
      </c>
      <c r="M22" s="167" t="s">
        <v>44</v>
      </c>
      <c r="N22" s="167"/>
      <c r="O22" s="168" t="s">
        <v>45</v>
      </c>
    </row>
    <row r="23" spans="1:15" s="157" customFormat="1" x14ac:dyDescent="0.25">
      <c r="A23" s="165" t="s">
        <v>46</v>
      </c>
      <c r="B23" s="166" t="s">
        <v>47</v>
      </c>
      <c r="C23" s="167" t="s">
        <v>7</v>
      </c>
      <c r="D23" s="167"/>
      <c r="E23" s="167" t="s">
        <v>11</v>
      </c>
      <c r="F23" s="167" t="s">
        <v>9</v>
      </c>
      <c r="G23" s="167">
        <v>11</v>
      </c>
      <c r="H23" s="167" t="s">
        <v>48</v>
      </c>
      <c r="I23" s="167"/>
      <c r="J23" s="167">
        <v>1</v>
      </c>
      <c r="K23" s="167"/>
      <c r="L23" s="167"/>
      <c r="M23" s="167"/>
      <c r="N23" s="167"/>
      <c r="O23" s="168" t="s">
        <v>49</v>
      </c>
    </row>
    <row r="24" spans="1:15" s="157" customFormat="1" x14ac:dyDescent="0.25">
      <c r="A24" s="165" t="s">
        <v>50</v>
      </c>
      <c r="B24" s="166" t="s">
        <v>51</v>
      </c>
      <c r="C24" s="167" t="s">
        <v>6</v>
      </c>
      <c r="D24" s="167"/>
      <c r="E24" s="167" t="s">
        <v>11</v>
      </c>
      <c r="F24" s="167" t="s">
        <v>10</v>
      </c>
      <c r="G24" s="167">
        <v>10</v>
      </c>
      <c r="H24" s="167" t="s">
        <v>48</v>
      </c>
      <c r="I24" s="167"/>
      <c r="J24" s="167">
        <v>1</v>
      </c>
      <c r="K24" s="167"/>
      <c r="L24" s="167"/>
      <c r="M24" s="167"/>
      <c r="N24" s="167"/>
      <c r="O24" s="168" t="s">
        <v>52</v>
      </c>
    </row>
    <row r="25" spans="1:15" s="157" customFormat="1" x14ac:dyDescent="0.25">
      <c r="A25" s="165" t="s">
        <v>53</v>
      </c>
      <c r="B25" s="166" t="s">
        <v>54</v>
      </c>
      <c r="C25" s="167" t="s">
        <v>7</v>
      </c>
      <c r="D25" s="167"/>
      <c r="E25" s="167" t="s">
        <v>10</v>
      </c>
      <c r="F25" s="167" t="s">
        <v>10</v>
      </c>
      <c r="G25" s="167">
        <v>13</v>
      </c>
      <c r="H25" s="167" t="s">
        <v>55</v>
      </c>
      <c r="I25" s="167">
        <v>1</v>
      </c>
      <c r="J25" s="167"/>
      <c r="K25" s="167"/>
      <c r="L25" s="167"/>
      <c r="M25" s="167"/>
      <c r="N25" s="167"/>
      <c r="O25" s="168" t="s">
        <v>40</v>
      </c>
    </row>
    <row r="26" spans="1:15" s="157" customFormat="1" x14ac:dyDescent="0.25">
      <c r="A26" s="165" t="s">
        <v>56</v>
      </c>
      <c r="B26" s="166" t="s">
        <v>57</v>
      </c>
      <c r="C26" s="167" t="s">
        <v>6</v>
      </c>
      <c r="D26" s="167"/>
      <c r="E26" s="167" t="s">
        <v>10</v>
      </c>
      <c r="F26" s="167" t="s">
        <v>10</v>
      </c>
      <c r="G26" s="167" t="s">
        <v>21</v>
      </c>
      <c r="H26" s="167" t="s">
        <v>58</v>
      </c>
      <c r="I26" s="167">
        <v>1</v>
      </c>
      <c r="J26" s="167"/>
      <c r="K26" s="167"/>
      <c r="L26" s="167"/>
      <c r="M26" s="167"/>
      <c r="N26" s="167"/>
      <c r="O26" s="168" t="s">
        <v>59</v>
      </c>
    </row>
    <row r="27" spans="1:15" s="157" customFormat="1" x14ac:dyDescent="0.25">
      <c r="A27" s="165" t="s">
        <v>50</v>
      </c>
      <c r="B27" s="166" t="s">
        <v>47</v>
      </c>
      <c r="C27" s="167" t="s">
        <v>7</v>
      </c>
      <c r="D27" s="167"/>
      <c r="E27" s="167" t="s">
        <v>9</v>
      </c>
      <c r="F27" s="167" t="s">
        <v>9</v>
      </c>
      <c r="G27" s="167"/>
      <c r="H27" s="167" t="s">
        <v>35</v>
      </c>
      <c r="I27" s="167"/>
      <c r="J27" s="167">
        <v>1</v>
      </c>
      <c r="K27" s="167"/>
      <c r="L27" s="167"/>
      <c r="M27" s="167"/>
      <c r="N27" s="167"/>
      <c r="O27" s="168" t="s">
        <v>49</v>
      </c>
    </row>
    <row r="28" spans="1:15" s="157" customFormat="1" x14ac:dyDescent="0.25">
      <c r="A28" s="165" t="s">
        <v>60</v>
      </c>
      <c r="B28" s="166" t="s">
        <v>61</v>
      </c>
      <c r="C28" s="167" t="s">
        <v>6</v>
      </c>
      <c r="D28" s="167"/>
      <c r="E28" s="167" t="s">
        <v>10</v>
      </c>
      <c r="F28" s="167" t="s">
        <v>13</v>
      </c>
      <c r="G28" s="167">
        <v>13</v>
      </c>
      <c r="H28" s="167" t="s">
        <v>43</v>
      </c>
      <c r="I28" s="167">
        <v>1</v>
      </c>
      <c r="J28" s="167"/>
      <c r="K28" s="167"/>
      <c r="L28" s="167"/>
      <c r="M28" s="167"/>
      <c r="N28" s="167"/>
      <c r="O28" s="168" t="s">
        <v>49</v>
      </c>
    </row>
    <row r="29" spans="1:15" s="157" customFormat="1" x14ac:dyDescent="0.25">
      <c r="A29" s="165" t="s">
        <v>62</v>
      </c>
      <c r="B29" s="166" t="s">
        <v>63</v>
      </c>
      <c r="C29" s="167" t="s">
        <v>6</v>
      </c>
      <c r="D29" s="167"/>
      <c r="E29" s="167" t="s">
        <v>9</v>
      </c>
      <c r="F29" s="167" t="s">
        <v>9</v>
      </c>
      <c r="G29" s="167"/>
      <c r="H29" s="167" t="s">
        <v>64</v>
      </c>
      <c r="I29" s="167"/>
      <c r="J29" s="167"/>
      <c r="K29" s="167"/>
      <c r="L29" s="167"/>
      <c r="M29" s="167"/>
      <c r="N29" s="167"/>
      <c r="O29" s="168"/>
    </row>
    <row r="30" spans="1:15" s="157" customFormat="1" x14ac:dyDescent="0.25">
      <c r="A30" s="165" t="s">
        <v>65</v>
      </c>
      <c r="B30" s="166" t="s">
        <v>61</v>
      </c>
      <c r="C30" s="167" t="s">
        <v>6</v>
      </c>
      <c r="D30" s="167"/>
      <c r="E30" s="167" t="s">
        <v>9</v>
      </c>
      <c r="F30" s="167" t="s">
        <v>10</v>
      </c>
      <c r="G30" s="167"/>
      <c r="H30" s="167" t="s">
        <v>39</v>
      </c>
      <c r="I30" s="167"/>
      <c r="J30" s="167"/>
      <c r="K30" s="167">
        <v>1</v>
      </c>
      <c r="L30" s="167"/>
      <c r="M30" s="167"/>
      <c r="N30" s="167"/>
      <c r="O30" s="168" t="s">
        <v>49</v>
      </c>
    </row>
    <row r="31" spans="1:15" s="157" customFormat="1" x14ac:dyDescent="0.25">
      <c r="A31" s="165" t="s">
        <v>66</v>
      </c>
      <c r="B31" s="166" t="s">
        <v>67</v>
      </c>
      <c r="C31" s="167" t="s">
        <v>6</v>
      </c>
      <c r="D31" s="167"/>
      <c r="E31" s="167" t="s">
        <v>10</v>
      </c>
      <c r="F31" s="167" t="s">
        <v>10</v>
      </c>
      <c r="G31" s="167"/>
      <c r="H31" s="167" t="s">
        <v>58</v>
      </c>
      <c r="I31" s="167">
        <v>1</v>
      </c>
      <c r="J31" s="167"/>
      <c r="K31" s="167"/>
      <c r="L31" s="167"/>
      <c r="M31" s="167"/>
      <c r="N31" s="167"/>
      <c r="O31" s="168" t="s">
        <v>68</v>
      </c>
    </row>
    <row r="32" spans="1:15" s="157" customFormat="1" x14ac:dyDescent="0.25">
      <c r="A32" s="165" t="s">
        <v>69</v>
      </c>
      <c r="B32" s="166" t="s">
        <v>70</v>
      </c>
      <c r="C32" s="167" t="s">
        <v>6</v>
      </c>
      <c r="D32" s="167"/>
      <c r="E32" s="167" t="s">
        <v>9</v>
      </c>
      <c r="F32" s="167" t="s">
        <v>13</v>
      </c>
      <c r="G32" s="167"/>
      <c r="H32" s="167" t="s">
        <v>35</v>
      </c>
      <c r="I32" s="167">
        <v>1</v>
      </c>
      <c r="J32" s="167"/>
      <c r="K32" s="167"/>
      <c r="L32" s="167"/>
      <c r="M32" s="167"/>
      <c r="N32" s="167"/>
      <c r="O32" s="168" t="s">
        <v>49</v>
      </c>
    </row>
    <row r="33" spans="1:15" s="157" customFormat="1" x14ac:dyDescent="0.25">
      <c r="A33" s="165" t="s">
        <v>71</v>
      </c>
      <c r="B33" s="166" t="s">
        <v>72</v>
      </c>
      <c r="C33" s="167" t="s">
        <v>6</v>
      </c>
      <c r="D33" s="167" t="s">
        <v>14</v>
      </c>
      <c r="E33" s="167" t="s">
        <v>13</v>
      </c>
      <c r="F33" s="167" t="s">
        <v>12</v>
      </c>
      <c r="G33" s="167">
        <v>10</v>
      </c>
      <c r="H33" s="167" t="s">
        <v>39</v>
      </c>
      <c r="I33" s="167"/>
      <c r="J33" s="167">
        <v>1</v>
      </c>
      <c r="K33" s="167"/>
      <c r="L33" s="167">
        <v>1</v>
      </c>
      <c r="M33" s="167" t="s">
        <v>73</v>
      </c>
      <c r="N33" s="167"/>
      <c r="O33" s="168" t="s">
        <v>45</v>
      </c>
    </row>
    <row r="34" spans="1:15" s="157" customFormat="1" x14ac:dyDescent="0.25">
      <c r="A34" s="165" t="s">
        <v>74</v>
      </c>
      <c r="B34" s="166" t="s">
        <v>67</v>
      </c>
      <c r="C34" s="167" t="s">
        <v>6</v>
      </c>
      <c r="D34" s="167"/>
      <c r="E34" s="167" t="s">
        <v>9</v>
      </c>
      <c r="F34" s="167" t="s">
        <v>10</v>
      </c>
      <c r="G34" s="167">
        <v>13</v>
      </c>
      <c r="H34" s="167" t="s">
        <v>43</v>
      </c>
      <c r="I34" s="167">
        <v>1</v>
      </c>
      <c r="J34" s="167"/>
      <c r="K34" s="167"/>
      <c r="L34" s="167">
        <v>1</v>
      </c>
      <c r="M34" s="167" t="s">
        <v>75</v>
      </c>
      <c r="N34" s="167"/>
      <c r="O34" s="168"/>
    </row>
    <row r="35" spans="1:15" s="157" customFormat="1" x14ac:dyDescent="0.25">
      <c r="A35" s="165" t="s">
        <v>65</v>
      </c>
      <c r="B35" s="166" t="s">
        <v>76</v>
      </c>
      <c r="C35" s="167" t="s">
        <v>6</v>
      </c>
      <c r="D35" s="167" t="s">
        <v>14</v>
      </c>
      <c r="E35" s="167" t="s">
        <v>9</v>
      </c>
      <c r="F35" s="167" t="s">
        <v>10</v>
      </c>
      <c r="G35" s="167">
        <v>12</v>
      </c>
      <c r="H35" s="167" t="s">
        <v>43</v>
      </c>
      <c r="I35" s="167"/>
      <c r="J35" s="167"/>
      <c r="K35" s="167">
        <v>1</v>
      </c>
      <c r="L35" s="167"/>
      <c r="M35" s="167"/>
      <c r="N35" s="167"/>
      <c r="O35" s="168" t="s">
        <v>77</v>
      </c>
    </row>
    <row r="36" spans="1:15" s="157" customFormat="1" x14ac:dyDescent="0.25">
      <c r="A36" s="165" t="s">
        <v>78</v>
      </c>
      <c r="B36" s="166" t="s">
        <v>79</v>
      </c>
      <c r="C36" s="167" t="s">
        <v>7</v>
      </c>
      <c r="D36" s="167"/>
      <c r="E36" s="167" t="s">
        <v>12</v>
      </c>
      <c r="F36" s="167" t="s">
        <v>10</v>
      </c>
      <c r="G36" s="167" t="s">
        <v>21</v>
      </c>
      <c r="H36" s="167" t="s">
        <v>35</v>
      </c>
      <c r="I36" s="167"/>
      <c r="J36" s="167">
        <v>1</v>
      </c>
      <c r="K36" s="167"/>
      <c r="L36" s="167"/>
      <c r="M36" s="167"/>
      <c r="N36" s="167"/>
      <c r="O36" s="168"/>
    </row>
    <row r="37" spans="1:15" s="157" customFormat="1" x14ac:dyDescent="0.25">
      <c r="A37" s="165" t="s">
        <v>80</v>
      </c>
      <c r="B37" s="166" t="s">
        <v>42</v>
      </c>
      <c r="C37" s="167" t="s">
        <v>7</v>
      </c>
      <c r="D37" s="167"/>
      <c r="E37" s="167" t="s">
        <v>9</v>
      </c>
      <c r="F37" s="167" t="s">
        <v>10</v>
      </c>
      <c r="G37" s="167"/>
      <c r="H37" s="167" t="s">
        <v>55</v>
      </c>
      <c r="I37" s="167"/>
      <c r="J37" s="167">
        <v>1</v>
      </c>
      <c r="K37" s="167"/>
      <c r="L37" s="167"/>
      <c r="M37" s="167"/>
      <c r="N37" s="167"/>
      <c r="O37" s="168" t="s">
        <v>68</v>
      </c>
    </row>
    <row r="38" spans="1:15" s="157" customFormat="1" x14ac:dyDescent="0.25">
      <c r="A38" s="165" t="s">
        <v>74</v>
      </c>
      <c r="B38" s="166" t="s">
        <v>79</v>
      </c>
      <c r="C38" s="167" t="s">
        <v>7</v>
      </c>
      <c r="D38" s="167"/>
      <c r="E38" s="167" t="s">
        <v>9</v>
      </c>
      <c r="F38" s="167" t="s">
        <v>11</v>
      </c>
      <c r="G38" s="167"/>
      <c r="H38" s="167" t="s">
        <v>64</v>
      </c>
      <c r="I38" s="167"/>
      <c r="J38" s="167"/>
      <c r="K38" s="167"/>
      <c r="L38" s="167">
        <v>1</v>
      </c>
      <c r="M38" s="167" t="s">
        <v>75</v>
      </c>
      <c r="N38" s="167"/>
      <c r="O38" s="168"/>
    </row>
    <row r="39" spans="1:15" s="157" customFormat="1" x14ac:dyDescent="0.25">
      <c r="A39" s="165" t="s">
        <v>81</v>
      </c>
      <c r="B39" s="166" t="s">
        <v>82</v>
      </c>
      <c r="C39" s="167" t="s">
        <v>7</v>
      </c>
      <c r="D39" s="167"/>
      <c r="E39" s="167" t="s">
        <v>12</v>
      </c>
      <c r="F39" s="167" t="s">
        <v>11</v>
      </c>
      <c r="G39" s="167"/>
      <c r="H39" s="167" t="s">
        <v>55</v>
      </c>
      <c r="I39" s="167"/>
      <c r="J39" s="167">
        <v>1</v>
      </c>
      <c r="K39" s="167"/>
      <c r="L39" s="167"/>
      <c r="M39" s="167"/>
      <c r="N39" s="167"/>
      <c r="O39" s="168"/>
    </row>
    <row r="40" spans="1:15" s="157" customFormat="1" x14ac:dyDescent="0.25">
      <c r="A40" s="165" t="s">
        <v>33</v>
      </c>
      <c r="B40" s="166" t="s">
        <v>83</v>
      </c>
      <c r="C40" s="167" t="s">
        <v>7</v>
      </c>
      <c r="D40" s="167"/>
      <c r="E40" s="167" t="s">
        <v>13</v>
      </c>
      <c r="F40" s="167" t="s">
        <v>10</v>
      </c>
      <c r="G40" s="167"/>
      <c r="H40" s="167" t="s">
        <v>35</v>
      </c>
      <c r="I40" s="167">
        <v>1</v>
      </c>
      <c r="J40" s="167"/>
      <c r="K40" s="167"/>
      <c r="L40" s="167"/>
      <c r="M40" s="167"/>
      <c r="N40" s="167"/>
      <c r="O40" s="168"/>
    </row>
    <row r="41" spans="1:15" s="157" customFormat="1" x14ac:dyDescent="0.25">
      <c r="A41" s="165" t="s">
        <v>84</v>
      </c>
      <c r="B41" s="166" t="s">
        <v>85</v>
      </c>
      <c r="C41" s="167" t="s">
        <v>6</v>
      </c>
      <c r="D41" s="167"/>
      <c r="E41" s="167" t="s">
        <v>10</v>
      </c>
      <c r="F41" s="167" t="s">
        <v>9</v>
      </c>
      <c r="G41" s="167">
        <v>11</v>
      </c>
      <c r="H41" s="167" t="s">
        <v>48</v>
      </c>
      <c r="I41" s="167"/>
      <c r="J41" s="167"/>
      <c r="K41" s="167">
        <v>1</v>
      </c>
      <c r="L41" s="167">
        <v>1</v>
      </c>
      <c r="M41" s="167" t="s">
        <v>75</v>
      </c>
      <c r="N41" s="167"/>
      <c r="O41" s="168" t="s">
        <v>52</v>
      </c>
    </row>
    <row r="42" spans="1:15" s="157" customFormat="1" x14ac:dyDescent="0.25">
      <c r="A42" s="165" t="s">
        <v>86</v>
      </c>
      <c r="B42" s="166" t="s">
        <v>87</v>
      </c>
      <c r="C42" s="167" t="s">
        <v>7</v>
      </c>
      <c r="D42" s="167"/>
      <c r="E42" s="167" t="s">
        <v>11</v>
      </c>
      <c r="F42" s="167" t="s">
        <v>9</v>
      </c>
      <c r="G42" s="167">
        <v>10</v>
      </c>
      <c r="H42" s="167" t="s">
        <v>88</v>
      </c>
      <c r="I42" s="167"/>
      <c r="J42" s="167">
        <v>1</v>
      </c>
      <c r="K42" s="167"/>
      <c r="L42" s="167">
        <v>1</v>
      </c>
      <c r="M42" s="167" t="s">
        <v>75</v>
      </c>
      <c r="N42" s="167"/>
      <c r="O42" s="168"/>
    </row>
    <row r="43" spans="1:15" s="157" customFormat="1" x14ac:dyDescent="0.25">
      <c r="A43" s="165" t="s">
        <v>89</v>
      </c>
      <c r="B43" s="166" t="s">
        <v>90</v>
      </c>
      <c r="C43" s="167" t="s">
        <v>7</v>
      </c>
      <c r="D43" s="167"/>
      <c r="E43" s="167" t="s">
        <v>9</v>
      </c>
      <c r="F43" s="167" t="s">
        <v>10</v>
      </c>
      <c r="G43" s="167"/>
      <c r="H43" s="167" t="s">
        <v>39</v>
      </c>
      <c r="I43" s="167">
        <v>1</v>
      </c>
      <c r="J43" s="167"/>
      <c r="K43" s="167"/>
      <c r="L43" s="167"/>
      <c r="M43" s="167"/>
      <c r="N43" s="167"/>
      <c r="O43" s="168"/>
    </row>
    <row r="44" spans="1:15" s="157" customFormat="1" x14ac:dyDescent="0.25">
      <c r="A44" s="165" t="s">
        <v>91</v>
      </c>
      <c r="B44" s="166" t="s">
        <v>92</v>
      </c>
      <c r="C44" s="167" t="s">
        <v>7</v>
      </c>
      <c r="D44" s="167"/>
      <c r="E44" s="167" t="s">
        <v>12</v>
      </c>
      <c r="F44" s="167" t="s">
        <v>9</v>
      </c>
      <c r="G44" s="167"/>
      <c r="H44" s="167" t="s">
        <v>64</v>
      </c>
      <c r="I44" s="167"/>
      <c r="J44" s="167"/>
      <c r="K44" s="167">
        <v>1</v>
      </c>
      <c r="L44" s="167"/>
      <c r="M44" s="167"/>
      <c r="N44" s="167"/>
      <c r="O44" s="168" t="s">
        <v>49</v>
      </c>
    </row>
    <row r="45" spans="1:15" s="157" customFormat="1" x14ac:dyDescent="0.25">
      <c r="A45" s="165" t="s">
        <v>50</v>
      </c>
      <c r="B45" s="166" t="s">
        <v>93</v>
      </c>
      <c r="C45" s="167" t="s">
        <v>6</v>
      </c>
      <c r="D45" s="167"/>
      <c r="E45" s="167" t="s">
        <v>9</v>
      </c>
      <c r="F45" s="167" t="s">
        <v>10</v>
      </c>
      <c r="G45" s="167"/>
      <c r="H45" s="167" t="s">
        <v>39</v>
      </c>
      <c r="I45" s="167"/>
      <c r="J45" s="167"/>
      <c r="K45" s="167">
        <v>1</v>
      </c>
      <c r="L45" s="167">
        <v>1</v>
      </c>
      <c r="M45" s="167" t="s">
        <v>75</v>
      </c>
      <c r="N45" s="167"/>
      <c r="O45" s="168" t="s">
        <v>59</v>
      </c>
    </row>
    <row r="46" spans="1:15" s="157" customFormat="1" x14ac:dyDescent="0.25">
      <c r="A46" s="165" t="s">
        <v>41</v>
      </c>
      <c r="B46" s="166" t="s">
        <v>94</v>
      </c>
      <c r="C46" s="167" t="s">
        <v>6</v>
      </c>
      <c r="D46" s="167"/>
      <c r="E46" s="167" t="s">
        <v>9</v>
      </c>
      <c r="F46" s="167" t="s">
        <v>13</v>
      </c>
      <c r="G46" s="167"/>
      <c r="H46" s="167" t="s">
        <v>39</v>
      </c>
      <c r="I46" s="167"/>
      <c r="J46" s="167"/>
      <c r="K46" s="167">
        <v>1</v>
      </c>
      <c r="L46" s="167"/>
      <c r="M46" s="167"/>
      <c r="N46" s="167"/>
      <c r="O46" s="168"/>
    </row>
    <row r="47" spans="1:15" s="157" customFormat="1" x14ac:dyDescent="0.25">
      <c r="A47" s="165" t="s">
        <v>95</v>
      </c>
      <c r="B47" s="166" t="s">
        <v>96</v>
      </c>
      <c r="C47" s="167" t="s">
        <v>6</v>
      </c>
      <c r="D47" s="167"/>
      <c r="E47" s="167" t="s">
        <v>12</v>
      </c>
      <c r="F47" s="167" t="s">
        <v>9</v>
      </c>
      <c r="G47" s="167">
        <v>11</v>
      </c>
      <c r="H47" s="167" t="s">
        <v>64</v>
      </c>
      <c r="I47" s="167"/>
      <c r="J47" s="167"/>
      <c r="K47" s="167">
        <v>1</v>
      </c>
      <c r="L47" s="167"/>
      <c r="M47" s="167"/>
      <c r="N47" s="167"/>
      <c r="O47" s="168" t="s">
        <v>36</v>
      </c>
    </row>
    <row r="48" spans="1:15" s="157" customFormat="1" x14ac:dyDescent="0.25">
      <c r="A48" s="165" t="s">
        <v>91</v>
      </c>
      <c r="B48" s="166" t="s">
        <v>83</v>
      </c>
      <c r="C48" s="167" t="s">
        <v>7</v>
      </c>
      <c r="D48" s="167"/>
      <c r="E48" s="167" t="s">
        <v>11</v>
      </c>
      <c r="F48" s="167" t="s">
        <v>13</v>
      </c>
      <c r="G48" s="167">
        <v>13</v>
      </c>
      <c r="H48" s="167" t="s">
        <v>58</v>
      </c>
      <c r="I48" s="167">
        <v>1</v>
      </c>
      <c r="J48" s="167"/>
      <c r="K48" s="167"/>
      <c r="L48" s="167"/>
      <c r="M48" s="167"/>
      <c r="N48" s="167"/>
      <c r="O48" s="168" t="s">
        <v>77</v>
      </c>
    </row>
    <row r="49" spans="1:15" s="157" customFormat="1" x14ac:dyDescent="0.25">
      <c r="A49" s="165" t="s">
        <v>97</v>
      </c>
      <c r="B49" s="166" t="s">
        <v>76</v>
      </c>
      <c r="C49" s="167" t="s">
        <v>6</v>
      </c>
      <c r="D49" s="167"/>
      <c r="E49" s="167" t="s">
        <v>10</v>
      </c>
      <c r="F49" s="167" t="s">
        <v>10</v>
      </c>
      <c r="G49" s="167" t="s">
        <v>21</v>
      </c>
      <c r="H49" s="167" t="s">
        <v>64</v>
      </c>
      <c r="I49" s="167"/>
      <c r="J49" s="167"/>
      <c r="K49" s="167">
        <v>1</v>
      </c>
      <c r="L49" s="167"/>
      <c r="M49" s="167"/>
      <c r="N49" s="167"/>
      <c r="O49" s="168" t="s">
        <v>68</v>
      </c>
    </row>
    <row r="50" spans="1:15" s="157" customFormat="1" x14ac:dyDescent="0.25">
      <c r="A50" s="165" t="s">
        <v>74</v>
      </c>
      <c r="B50" s="166" t="s">
        <v>90</v>
      </c>
      <c r="C50" s="167" t="s">
        <v>7</v>
      </c>
      <c r="D50" s="167"/>
      <c r="E50" s="167" t="s">
        <v>12</v>
      </c>
      <c r="F50" s="167" t="s">
        <v>9</v>
      </c>
      <c r="G50" s="167"/>
      <c r="H50" s="167" t="s">
        <v>55</v>
      </c>
      <c r="I50" s="167">
        <v>1</v>
      </c>
      <c r="J50" s="167"/>
      <c r="K50" s="167"/>
      <c r="L50" s="167"/>
      <c r="M50" s="167"/>
      <c r="N50" s="167"/>
      <c r="O50" s="168" t="s">
        <v>77</v>
      </c>
    </row>
    <row r="51" spans="1:15" s="157" customFormat="1" x14ac:dyDescent="0.25">
      <c r="A51" s="165" t="s">
        <v>95</v>
      </c>
      <c r="B51" s="166" t="s">
        <v>92</v>
      </c>
      <c r="C51" s="167" t="s">
        <v>7</v>
      </c>
      <c r="D51" s="167"/>
      <c r="E51" s="167" t="s">
        <v>9</v>
      </c>
      <c r="F51" s="167" t="s">
        <v>12</v>
      </c>
      <c r="G51" s="167"/>
      <c r="H51" s="167" t="s">
        <v>64</v>
      </c>
      <c r="I51" s="167"/>
      <c r="J51" s="167">
        <v>1</v>
      </c>
      <c r="K51" s="167"/>
      <c r="L51" s="167"/>
      <c r="M51" s="167"/>
      <c r="N51" s="167"/>
      <c r="O51" s="168" t="s">
        <v>40</v>
      </c>
    </row>
    <row r="52" spans="1:15" s="157" customFormat="1" x14ac:dyDescent="0.25">
      <c r="A52" s="165" t="s">
        <v>95</v>
      </c>
      <c r="B52" s="166" t="s">
        <v>47</v>
      </c>
      <c r="C52" s="167" t="s">
        <v>7</v>
      </c>
      <c r="D52" s="167"/>
      <c r="E52" s="167" t="s">
        <v>13</v>
      </c>
      <c r="F52" s="167" t="s">
        <v>12</v>
      </c>
      <c r="G52" s="167">
        <v>12</v>
      </c>
      <c r="H52" s="167" t="s">
        <v>43</v>
      </c>
      <c r="I52" s="167"/>
      <c r="J52" s="167">
        <v>1</v>
      </c>
      <c r="K52" s="167"/>
      <c r="L52" s="167"/>
      <c r="M52" s="167"/>
      <c r="N52" s="167"/>
      <c r="O52" s="168" t="s">
        <v>52</v>
      </c>
    </row>
    <row r="53" spans="1:15" s="157" customFormat="1" x14ac:dyDescent="0.25">
      <c r="A53" s="165" t="s">
        <v>98</v>
      </c>
      <c r="B53" s="166" t="s">
        <v>79</v>
      </c>
      <c r="C53" s="167" t="s">
        <v>7</v>
      </c>
      <c r="D53" s="167"/>
      <c r="E53" s="167" t="s">
        <v>11</v>
      </c>
      <c r="F53" s="167" t="s">
        <v>9</v>
      </c>
      <c r="G53" s="167"/>
      <c r="H53" s="167" t="s">
        <v>48</v>
      </c>
      <c r="I53" s="167"/>
      <c r="J53" s="167">
        <v>1</v>
      </c>
      <c r="K53" s="167"/>
      <c r="L53" s="167"/>
      <c r="M53" s="167"/>
      <c r="N53" s="167"/>
      <c r="O53" s="168" t="s">
        <v>40</v>
      </c>
    </row>
    <row r="54" spans="1:15" s="157" customFormat="1" x14ac:dyDescent="0.25">
      <c r="A54" s="165" t="s">
        <v>74</v>
      </c>
      <c r="B54" s="166" t="s">
        <v>76</v>
      </c>
      <c r="C54" s="167" t="s">
        <v>6</v>
      </c>
      <c r="D54" s="167"/>
      <c r="E54" s="167" t="s">
        <v>9</v>
      </c>
      <c r="F54" s="167" t="s">
        <v>10</v>
      </c>
      <c r="G54" s="167"/>
      <c r="H54" s="167" t="s">
        <v>48</v>
      </c>
      <c r="I54" s="167"/>
      <c r="J54" s="167">
        <v>1</v>
      </c>
      <c r="K54" s="167"/>
      <c r="L54" s="167"/>
      <c r="M54" s="167"/>
      <c r="N54" s="167"/>
      <c r="O54" s="168" t="s">
        <v>45</v>
      </c>
    </row>
    <row r="55" spans="1:15" s="157" customFormat="1" x14ac:dyDescent="0.25">
      <c r="A55" s="165" t="s">
        <v>80</v>
      </c>
      <c r="B55" s="166" t="s">
        <v>99</v>
      </c>
      <c r="C55" s="167" t="s">
        <v>7</v>
      </c>
      <c r="D55" s="167"/>
      <c r="E55" s="167" t="s">
        <v>9</v>
      </c>
      <c r="F55" s="167" t="s">
        <v>13</v>
      </c>
      <c r="G55" s="167"/>
      <c r="H55" s="167" t="s">
        <v>100</v>
      </c>
      <c r="I55" s="167"/>
      <c r="J55" s="167"/>
      <c r="K55" s="167">
        <v>1</v>
      </c>
      <c r="L55" s="167">
        <v>1</v>
      </c>
      <c r="M55" s="167" t="s">
        <v>44</v>
      </c>
      <c r="N55" s="167"/>
      <c r="O55" s="168" t="s">
        <v>59</v>
      </c>
    </row>
    <row r="56" spans="1:15" s="157" customFormat="1" x14ac:dyDescent="0.25">
      <c r="A56" s="165" t="s">
        <v>89</v>
      </c>
      <c r="B56" s="166" t="s">
        <v>76</v>
      </c>
      <c r="C56" s="167" t="s">
        <v>6</v>
      </c>
      <c r="D56" s="167"/>
      <c r="E56" s="167" t="s">
        <v>12</v>
      </c>
      <c r="F56" s="167" t="s">
        <v>11</v>
      </c>
      <c r="G56" s="167">
        <v>12</v>
      </c>
      <c r="H56" s="167" t="s">
        <v>43</v>
      </c>
      <c r="I56" s="167"/>
      <c r="J56" s="167"/>
      <c r="K56" s="167">
        <v>1</v>
      </c>
      <c r="L56" s="167">
        <v>1</v>
      </c>
      <c r="M56" s="167" t="s">
        <v>44</v>
      </c>
      <c r="N56" s="167"/>
      <c r="O56" s="168" t="s">
        <v>77</v>
      </c>
    </row>
    <row r="57" spans="1:15" s="157" customFormat="1" x14ac:dyDescent="0.25">
      <c r="A57" s="165" t="s">
        <v>101</v>
      </c>
      <c r="B57" s="166" t="s">
        <v>63</v>
      </c>
      <c r="C57" s="167" t="s">
        <v>6</v>
      </c>
      <c r="D57" s="167"/>
      <c r="E57" s="167" t="s">
        <v>12</v>
      </c>
      <c r="F57" s="167" t="s">
        <v>12</v>
      </c>
      <c r="G57" s="167">
        <v>11</v>
      </c>
      <c r="H57" s="167" t="s">
        <v>100</v>
      </c>
      <c r="I57" s="167">
        <v>1</v>
      </c>
      <c r="J57" s="167"/>
      <c r="K57" s="167"/>
      <c r="L57" s="167"/>
      <c r="M57" s="167"/>
      <c r="N57" s="167"/>
      <c r="O57" s="168" t="s">
        <v>77</v>
      </c>
    </row>
    <row r="58" spans="1:15" s="157" customFormat="1" x14ac:dyDescent="0.25">
      <c r="A58" s="165" t="s">
        <v>53</v>
      </c>
      <c r="B58" s="166" t="s">
        <v>102</v>
      </c>
      <c r="C58" s="167" t="s">
        <v>7</v>
      </c>
      <c r="D58" s="167"/>
      <c r="E58" s="167" t="s">
        <v>10</v>
      </c>
      <c r="F58" s="167" t="s">
        <v>13</v>
      </c>
      <c r="G58" s="167"/>
      <c r="H58" s="167" t="s">
        <v>48</v>
      </c>
      <c r="I58" s="167"/>
      <c r="J58" s="167"/>
      <c r="K58" s="167">
        <v>1</v>
      </c>
      <c r="L58" s="167">
        <v>1</v>
      </c>
      <c r="M58" s="167" t="s">
        <v>73</v>
      </c>
      <c r="N58" s="167"/>
      <c r="O58" s="168" t="s">
        <v>40</v>
      </c>
    </row>
    <row r="59" spans="1:15" s="157" customFormat="1" x14ac:dyDescent="0.25">
      <c r="A59" s="165" t="s">
        <v>103</v>
      </c>
      <c r="B59" s="166" t="s">
        <v>104</v>
      </c>
      <c r="C59" s="167" t="s">
        <v>6</v>
      </c>
      <c r="D59" s="167"/>
      <c r="E59" s="167" t="s">
        <v>10</v>
      </c>
      <c r="F59" s="167" t="s">
        <v>9</v>
      </c>
      <c r="G59" s="167">
        <v>13</v>
      </c>
      <c r="H59" s="167" t="s">
        <v>35</v>
      </c>
      <c r="I59" s="167"/>
      <c r="J59" s="167">
        <v>1</v>
      </c>
      <c r="K59" s="167"/>
      <c r="L59" s="167"/>
      <c r="M59" s="167"/>
      <c r="N59" s="167"/>
      <c r="O59" s="168" t="s">
        <v>52</v>
      </c>
    </row>
    <row r="60" spans="1:15" s="157" customFormat="1" x14ac:dyDescent="0.25">
      <c r="A60" s="165" t="s">
        <v>105</v>
      </c>
      <c r="B60" s="166" t="s">
        <v>90</v>
      </c>
      <c r="C60" s="167" t="s">
        <v>7</v>
      </c>
      <c r="D60" s="167"/>
      <c r="E60" s="167" t="s">
        <v>10</v>
      </c>
      <c r="F60" s="167" t="s">
        <v>10</v>
      </c>
      <c r="G60" s="167"/>
      <c r="H60" s="167" t="s">
        <v>88</v>
      </c>
      <c r="I60" s="167"/>
      <c r="J60" s="167"/>
      <c r="K60" s="167"/>
      <c r="L60" s="167"/>
      <c r="M60" s="167"/>
      <c r="N60" s="167"/>
      <c r="O60" s="168" t="s">
        <v>49</v>
      </c>
    </row>
    <row r="61" spans="1:15" s="157" customFormat="1" x14ac:dyDescent="0.25">
      <c r="A61" s="165" t="s">
        <v>89</v>
      </c>
      <c r="B61" s="166" t="s">
        <v>38</v>
      </c>
      <c r="C61" s="167" t="s">
        <v>6</v>
      </c>
      <c r="D61" s="167" t="s">
        <v>14</v>
      </c>
      <c r="E61" s="167" t="s">
        <v>9</v>
      </c>
      <c r="F61" s="167" t="s">
        <v>10</v>
      </c>
      <c r="G61" s="167">
        <v>12</v>
      </c>
      <c r="H61" s="167" t="s">
        <v>43</v>
      </c>
      <c r="I61" s="167"/>
      <c r="J61" s="167">
        <v>1</v>
      </c>
      <c r="K61" s="167"/>
      <c r="L61" s="167"/>
      <c r="M61" s="167"/>
      <c r="N61" s="167"/>
      <c r="O61" s="168" t="s">
        <v>52</v>
      </c>
    </row>
    <row r="62" spans="1:15" s="157" customFormat="1" x14ac:dyDescent="0.25">
      <c r="A62" s="165" t="s">
        <v>106</v>
      </c>
      <c r="B62" s="166" t="s">
        <v>96</v>
      </c>
      <c r="C62" s="167" t="s">
        <v>6</v>
      </c>
      <c r="D62" s="167"/>
      <c r="E62" s="167" t="s">
        <v>10</v>
      </c>
      <c r="F62" s="167" t="s">
        <v>10</v>
      </c>
      <c r="G62" s="167">
        <v>11</v>
      </c>
      <c r="H62" s="167" t="s">
        <v>48</v>
      </c>
      <c r="I62" s="167">
        <v>1</v>
      </c>
      <c r="J62" s="167"/>
      <c r="K62" s="167"/>
      <c r="L62" s="167"/>
      <c r="M62" s="167"/>
      <c r="N62" s="167"/>
      <c r="O62" s="168" t="s">
        <v>77</v>
      </c>
    </row>
    <row r="63" spans="1:15" s="157" customFormat="1" x14ac:dyDescent="0.25">
      <c r="A63" s="165" t="s">
        <v>97</v>
      </c>
      <c r="B63" s="166" t="s">
        <v>104</v>
      </c>
      <c r="C63" s="167" t="s">
        <v>6</v>
      </c>
      <c r="D63" s="167"/>
      <c r="E63" s="167" t="s">
        <v>10</v>
      </c>
      <c r="F63" s="167" t="s">
        <v>11</v>
      </c>
      <c r="G63" s="167"/>
      <c r="H63" s="167" t="s">
        <v>48</v>
      </c>
      <c r="I63" s="167"/>
      <c r="J63" s="167"/>
      <c r="K63" s="167">
        <v>1</v>
      </c>
      <c r="L63" s="167"/>
      <c r="M63" s="167"/>
      <c r="N63" s="167"/>
      <c r="O63" s="168"/>
    </row>
    <row r="64" spans="1:15" s="157" customFormat="1" x14ac:dyDescent="0.25">
      <c r="A64" s="165" t="s">
        <v>107</v>
      </c>
      <c r="B64" s="166" t="s">
        <v>108</v>
      </c>
      <c r="C64" s="167" t="s">
        <v>7</v>
      </c>
      <c r="D64" s="167"/>
      <c r="E64" s="167" t="s">
        <v>11</v>
      </c>
      <c r="F64" s="167" t="s">
        <v>12</v>
      </c>
      <c r="G64" s="167"/>
      <c r="H64" s="167" t="s">
        <v>58</v>
      </c>
      <c r="I64" s="167"/>
      <c r="J64" s="167"/>
      <c r="K64" s="167">
        <v>1</v>
      </c>
      <c r="L64" s="167">
        <v>1</v>
      </c>
      <c r="M64" s="167" t="s">
        <v>44</v>
      </c>
      <c r="N64" s="167"/>
      <c r="O64" s="168" t="s">
        <v>45</v>
      </c>
    </row>
    <row r="65" spans="1:15" s="157" customFormat="1" x14ac:dyDescent="0.25">
      <c r="A65" s="165" t="s">
        <v>101</v>
      </c>
      <c r="B65" s="166" t="s">
        <v>76</v>
      </c>
      <c r="C65" s="167" t="s">
        <v>6</v>
      </c>
      <c r="D65" s="167"/>
      <c r="E65" s="167" t="s">
        <v>9</v>
      </c>
      <c r="F65" s="167" t="s">
        <v>10</v>
      </c>
      <c r="G65" s="167"/>
      <c r="H65" s="167" t="s">
        <v>43</v>
      </c>
      <c r="I65" s="167">
        <v>1</v>
      </c>
      <c r="J65" s="167"/>
      <c r="K65" s="167"/>
      <c r="L65" s="167"/>
      <c r="M65" s="167"/>
      <c r="N65" s="167"/>
      <c r="O65" s="168"/>
    </row>
    <row r="66" spans="1:15" s="157" customFormat="1" x14ac:dyDescent="0.25">
      <c r="A66" s="165" t="s">
        <v>109</v>
      </c>
      <c r="B66" s="166" t="s">
        <v>47</v>
      </c>
      <c r="C66" s="167" t="s">
        <v>7</v>
      </c>
      <c r="D66" s="167"/>
      <c r="E66" s="167" t="s">
        <v>9</v>
      </c>
      <c r="F66" s="167" t="s">
        <v>10</v>
      </c>
      <c r="G66" s="167"/>
      <c r="H66" s="167" t="s">
        <v>64</v>
      </c>
      <c r="I66" s="167"/>
      <c r="J66" s="167">
        <v>1</v>
      </c>
      <c r="K66" s="167"/>
      <c r="L66" s="167"/>
      <c r="M66" s="167"/>
      <c r="N66" s="167"/>
      <c r="O66" s="168" t="s">
        <v>49</v>
      </c>
    </row>
    <row r="67" spans="1:15" s="157" customFormat="1" x14ac:dyDescent="0.25">
      <c r="A67" s="165" t="s">
        <v>46</v>
      </c>
      <c r="B67" s="166" t="s">
        <v>76</v>
      </c>
      <c r="C67" s="167" t="s">
        <v>6</v>
      </c>
      <c r="D67" s="167"/>
      <c r="E67" s="167" t="s">
        <v>9</v>
      </c>
      <c r="F67" s="167" t="s">
        <v>9</v>
      </c>
      <c r="G67" s="167"/>
      <c r="H67" s="167" t="s">
        <v>64</v>
      </c>
      <c r="I67" s="167"/>
      <c r="J67" s="167">
        <v>1</v>
      </c>
      <c r="K67" s="167"/>
      <c r="L67" s="167">
        <v>1</v>
      </c>
      <c r="M67" s="167" t="s">
        <v>75</v>
      </c>
      <c r="N67" s="167">
        <v>1</v>
      </c>
      <c r="O67" s="168" t="s">
        <v>45</v>
      </c>
    </row>
    <row r="68" spans="1:15" s="157" customFormat="1" x14ac:dyDescent="0.25">
      <c r="A68" s="165" t="s">
        <v>80</v>
      </c>
      <c r="B68" s="166" t="s">
        <v>110</v>
      </c>
      <c r="C68" s="167" t="s">
        <v>6</v>
      </c>
      <c r="D68" s="167"/>
      <c r="E68" s="167" t="s">
        <v>9</v>
      </c>
      <c r="F68" s="167" t="s">
        <v>12</v>
      </c>
      <c r="G68" s="167"/>
      <c r="H68" s="167" t="s">
        <v>48</v>
      </c>
      <c r="I68" s="167"/>
      <c r="J68" s="167"/>
      <c r="K68" s="167">
        <v>1</v>
      </c>
      <c r="L68" s="167">
        <v>1</v>
      </c>
      <c r="M68" s="167" t="s">
        <v>44</v>
      </c>
      <c r="N68" s="167"/>
      <c r="O68" s="168"/>
    </row>
    <row r="69" spans="1:15" s="157" customFormat="1" x14ac:dyDescent="0.25">
      <c r="A69" s="165" t="s">
        <v>103</v>
      </c>
      <c r="B69" s="166" t="s">
        <v>38</v>
      </c>
      <c r="C69" s="167" t="s">
        <v>6</v>
      </c>
      <c r="D69" s="167"/>
      <c r="E69" s="167" t="s">
        <v>10</v>
      </c>
      <c r="F69" s="167" t="s">
        <v>10</v>
      </c>
      <c r="G69" s="167"/>
      <c r="H69" s="167" t="s">
        <v>35</v>
      </c>
      <c r="I69" s="167">
        <v>1</v>
      </c>
      <c r="J69" s="167"/>
      <c r="K69" s="167"/>
      <c r="L69" s="167"/>
      <c r="M69" s="167"/>
      <c r="N69" s="167"/>
      <c r="O69" s="168" t="s">
        <v>52</v>
      </c>
    </row>
    <row r="70" spans="1:15" s="157" customFormat="1" x14ac:dyDescent="0.25">
      <c r="A70" s="165" t="s">
        <v>111</v>
      </c>
      <c r="B70" s="166" t="s">
        <v>85</v>
      </c>
      <c r="C70" s="167" t="s">
        <v>6</v>
      </c>
      <c r="D70" s="167"/>
      <c r="E70" s="167" t="s">
        <v>10</v>
      </c>
      <c r="F70" s="167" t="s">
        <v>10</v>
      </c>
      <c r="G70" s="167"/>
      <c r="H70" s="167" t="s">
        <v>64</v>
      </c>
      <c r="I70" s="167"/>
      <c r="J70" s="167"/>
      <c r="K70" s="167">
        <v>1</v>
      </c>
      <c r="L70" s="167"/>
      <c r="M70" s="167"/>
      <c r="N70" s="167"/>
      <c r="O70" s="168" t="s">
        <v>36</v>
      </c>
    </row>
    <row r="71" spans="1:15" s="157" customFormat="1" x14ac:dyDescent="0.25">
      <c r="A71" s="165" t="s">
        <v>66</v>
      </c>
      <c r="B71" s="166" t="s">
        <v>92</v>
      </c>
      <c r="C71" s="167" t="s">
        <v>7</v>
      </c>
      <c r="D71" s="167"/>
      <c r="E71" s="167" t="s">
        <v>11</v>
      </c>
      <c r="F71" s="167" t="s">
        <v>10</v>
      </c>
      <c r="G71" s="167"/>
      <c r="H71" s="167" t="s">
        <v>35</v>
      </c>
      <c r="I71" s="167"/>
      <c r="J71" s="167"/>
      <c r="K71" s="167">
        <v>1</v>
      </c>
      <c r="L71" s="167">
        <v>1</v>
      </c>
      <c r="M71" s="167" t="s">
        <v>75</v>
      </c>
      <c r="N71" s="167"/>
      <c r="O71" s="168" t="s">
        <v>68</v>
      </c>
    </row>
    <row r="72" spans="1:15" s="157" customFormat="1" x14ac:dyDescent="0.25">
      <c r="A72" s="165" t="s">
        <v>101</v>
      </c>
      <c r="B72" s="166" t="s">
        <v>38</v>
      </c>
      <c r="C72" s="167" t="s">
        <v>6</v>
      </c>
      <c r="D72" s="167"/>
      <c r="E72" s="167" t="s">
        <v>13</v>
      </c>
      <c r="F72" s="167" t="s">
        <v>10</v>
      </c>
      <c r="G72" s="167"/>
      <c r="H72" s="167" t="s">
        <v>39</v>
      </c>
      <c r="I72" s="167"/>
      <c r="J72" s="167">
        <v>1</v>
      </c>
      <c r="K72" s="167"/>
      <c r="L72" s="167"/>
      <c r="M72" s="167"/>
      <c r="N72" s="167"/>
      <c r="O72" s="168" t="s">
        <v>36</v>
      </c>
    </row>
    <row r="73" spans="1:15" s="157" customFormat="1" x14ac:dyDescent="0.25">
      <c r="A73" s="165" t="s">
        <v>112</v>
      </c>
      <c r="B73" s="166" t="s">
        <v>83</v>
      </c>
      <c r="C73" s="167" t="s">
        <v>7</v>
      </c>
      <c r="D73" s="167" t="s">
        <v>14</v>
      </c>
      <c r="E73" s="167" t="s">
        <v>9</v>
      </c>
      <c r="F73" s="167" t="s">
        <v>9</v>
      </c>
      <c r="G73" s="167"/>
      <c r="H73" s="167" t="s">
        <v>64</v>
      </c>
      <c r="I73" s="167"/>
      <c r="J73" s="167"/>
      <c r="K73" s="167">
        <v>1</v>
      </c>
      <c r="L73" s="167"/>
      <c r="M73" s="167"/>
      <c r="N73" s="167"/>
      <c r="O73" s="168" t="s">
        <v>36</v>
      </c>
    </row>
    <row r="74" spans="1:15" s="157" customFormat="1" x14ac:dyDescent="0.25">
      <c r="A74" s="165" t="s">
        <v>91</v>
      </c>
      <c r="B74" s="166" t="s">
        <v>113</v>
      </c>
      <c r="C74" s="167" t="s">
        <v>6</v>
      </c>
      <c r="D74" s="167"/>
      <c r="E74" s="167" t="s">
        <v>9</v>
      </c>
      <c r="F74" s="167" t="s">
        <v>10</v>
      </c>
      <c r="G74" s="167">
        <v>13</v>
      </c>
      <c r="H74" s="167" t="s">
        <v>48</v>
      </c>
      <c r="I74" s="167">
        <v>1</v>
      </c>
      <c r="J74" s="167"/>
      <c r="K74" s="167"/>
      <c r="L74" s="167">
        <v>1</v>
      </c>
      <c r="M74" s="167" t="s">
        <v>44</v>
      </c>
      <c r="N74" s="167"/>
      <c r="O74" s="168" t="s">
        <v>52</v>
      </c>
    </row>
    <row r="75" spans="1:15" s="157" customFormat="1" x14ac:dyDescent="0.25">
      <c r="A75" s="165" t="s">
        <v>114</v>
      </c>
      <c r="B75" s="166" t="s">
        <v>115</v>
      </c>
      <c r="C75" s="167" t="s">
        <v>7</v>
      </c>
      <c r="D75" s="167"/>
      <c r="E75" s="167" t="s">
        <v>13</v>
      </c>
      <c r="F75" s="167" t="s">
        <v>10</v>
      </c>
      <c r="G75" s="167" t="s">
        <v>21</v>
      </c>
      <c r="H75" s="167" t="s">
        <v>35</v>
      </c>
      <c r="I75" s="167">
        <v>1</v>
      </c>
      <c r="J75" s="167"/>
      <c r="K75" s="167"/>
      <c r="L75" s="167">
        <v>1</v>
      </c>
      <c r="M75" s="167" t="s">
        <v>44</v>
      </c>
      <c r="N75" s="167"/>
      <c r="O75" s="168" t="s">
        <v>45</v>
      </c>
    </row>
    <row r="76" spans="1:15" s="157" customFormat="1" x14ac:dyDescent="0.25">
      <c r="A76" s="165" t="s">
        <v>86</v>
      </c>
      <c r="B76" s="166" t="s">
        <v>67</v>
      </c>
      <c r="C76" s="167" t="s">
        <v>6</v>
      </c>
      <c r="D76" s="167"/>
      <c r="E76" s="167" t="s">
        <v>11</v>
      </c>
      <c r="F76" s="167" t="s">
        <v>9</v>
      </c>
      <c r="G76" s="167"/>
      <c r="H76" s="167" t="s">
        <v>55</v>
      </c>
      <c r="I76" s="167"/>
      <c r="J76" s="167"/>
      <c r="K76" s="167">
        <v>1</v>
      </c>
      <c r="L76" s="167"/>
      <c r="M76" s="167"/>
      <c r="N76" s="167"/>
      <c r="O76" s="168" t="s">
        <v>36</v>
      </c>
    </row>
    <row r="77" spans="1:15" s="157" customFormat="1" x14ac:dyDescent="0.25">
      <c r="A77" s="165" t="s">
        <v>78</v>
      </c>
      <c r="B77" s="166" t="s">
        <v>70</v>
      </c>
      <c r="C77" s="167" t="s">
        <v>6</v>
      </c>
      <c r="D77" s="167"/>
      <c r="E77" s="167" t="s">
        <v>9</v>
      </c>
      <c r="F77" s="167" t="s">
        <v>12</v>
      </c>
      <c r="G77" s="167"/>
      <c r="H77" s="167" t="s">
        <v>48</v>
      </c>
      <c r="I77" s="167">
        <v>1</v>
      </c>
      <c r="J77" s="167"/>
      <c r="K77" s="167"/>
      <c r="L77" s="167">
        <v>1</v>
      </c>
      <c r="M77" s="167" t="s">
        <v>75</v>
      </c>
      <c r="N77" s="167"/>
      <c r="O77" s="168"/>
    </row>
    <row r="78" spans="1:15" s="157" customFormat="1" x14ac:dyDescent="0.25">
      <c r="A78" s="165" t="s">
        <v>98</v>
      </c>
      <c r="B78" s="166" t="s">
        <v>67</v>
      </c>
      <c r="C78" s="167" t="s">
        <v>6</v>
      </c>
      <c r="D78" s="167"/>
      <c r="E78" s="167" t="s">
        <v>10</v>
      </c>
      <c r="F78" s="167" t="s">
        <v>10</v>
      </c>
      <c r="G78" s="167"/>
      <c r="H78" s="167" t="s">
        <v>64</v>
      </c>
      <c r="I78" s="167"/>
      <c r="J78" s="167">
        <v>1</v>
      </c>
      <c r="K78" s="167"/>
      <c r="L78" s="167">
        <v>1</v>
      </c>
      <c r="M78" s="167" t="s">
        <v>73</v>
      </c>
      <c r="N78" s="167"/>
      <c r="O78" s="168" t="s">
        <v>52</v>
      </c>
    </row>
    <row r="79" spans="1:15" s="157" customFormat="1" x14ac:dyDescent="0.25">
      <c r="A79" s="165" t="s">
        <v>114</v>
      </c>
      <c r="B79" s="166" t="s">
        <v>82</v>
      </c>
      <c r="C79" s="167" t="s">
        <v>7</v>
      </c>
      <c r="D79" s="167"/>
      <c r="E79" s="167" t="s">
        <v>10</v>
      </c>
      <c r="F79" s="167" t="s">
        <v>11</v>
      </c>
      <c r="G79" s="167"/>
      <c r="H79" s="167" t="s">
        <v>39</v>
      </c>
      <c r="I79" s="167">
        <v>1</v>
      </c>
      <c r="J79" s="167"/>
      <c r="K79" s="167"/>
      <c r="L79" s="167"/>
      <c r="M79" s="167"/>
      <c r="N79" s="167"/>
      <c r="O79" s="168"/>
    </row>
    <row r="80" spans="1:15" s="157" customFormat="1" x14ac:dyDescent="0.25">
      <c r="A80" s="165" t="s">
        <v>112</v>
      </c>
      <c r="B80" s="166" t="s">
        <v>116</v>
      </c>
      <c r="C80" s="167" t="s">
        <v>7</v>
      </c>
      <c r="D80" s="167"/>
      <c r="E80" s="167" t="s">
        <v>13</v>
      </c>
      <c r="F80" s="167" t="s">
        <v>11</v>
      </c>
      <c r="G80" s="167"/>
      <c r="H80" s="167" t="s">
        <v>88</v>
      </c>
      <c r="I80" s="167"/>
      <c r="J80" s="167">
        <v>1</v>
      </c>
      <c r="K80" s="167"/>
      <c r="L80" s="167"/>
      <c r="M80" s="167"/>
      <c r="N80" s="167"/>
      <c r="O80" s="168"/>
    </row>
    <row r="81" spans="1:15" s="157" customFormat="1" x14ac:dyDescent="0.25">
      <c r="A81" s="165" t="s">
        <v>114</v>
      </c>
      <c r="B81" s="166" t="s">
        <v>82</v>
      </c>
      <c r="C81" s="167" t="s">
        <v>7</v>
      </c>
      <c r="D81" s="167" t="s">
        <v>14</v>
      </c>
      <c r="E81" s="167" t="s">
        <v>12</v>
      </c>
      <c r="F81" s="167" t="s">
        <v>9</v>
      </c>
      <c r="G81" s="167"/>
      <c r="H81" s="167" t="s">
        <v>58</v>
      </c>
      <c r="I81" s="167"/>
      <c r="J81" s="167"/>
      <c r="K81" s="167">
        <v>1</v>
      </c>
      <c r="L81" s="167"/>
      <c r="M81" s="167"/>
      <c r="N81" s="167"/>
      <c r="O81" s="168"/>
    </row>
    <row r="82" spans="1:15" s="157" customFormat="1" x14ac:dyDescent="0.25">
      <c r="A82" s="165" t="s">
        <v>117</v>
      </c>
      <c r="B82" s="166" t="s">
        <v>67</v>
      </c>
      <c r="C82" s="167" t="s">
        <v>6</v>
      </c>
      <c r="D82" s="167"/>
      <c r="E82" s="167" t="s">
        <v>10</v>
      </c>
      <c r="F82" s="167" t="s">
        <v>9</v>
      </c>
      <c r="G82" s="167"/>
      <c r="H82" s="167" t="s">
        <v>43</v>
      </c>
      <c r="I82" s="167"/>
      <c r="J82" s="167">
        <v>1</v>
      </c>
      <c r="K82" s="167"/>
      <c r="L82" s="167"/>
      <c r="M82" s="167"/>
      <c r="N82" s="167"/>
      <c r="O82" s="168"/>
    </row>
    <row r="83" spans="1:15" s="157" customFormat="1" x14ac:dyDescent="0.25">
      <c r="A83" s="165" t="s">
        <v>118</v>
      </c>
      <c r="B83" s="166" t="s">
        <v>108</v>
      </c>
      <c r="C83" s="167" t="s">
        <v>7</v>
      </c>
      <c r="D83" s="167"/>
      <c r="E83" s="167" t="s">
        <v>11</v>
      </c>
      <c r="F83" s="167" t="s">
        <v>11</v>
      </c>
      <c r="G83" s="167" t="s">
        <v>21</v>
      </c>
      <c r="H83" s="167" t="s">
        <v>58</v>
      </c>
      <c r="I83" s="167"/>
      <c r="J83" s="167">
        <v>1</v>
      </c>
      <c r="K83" s="167"/>
      <c r="L83" s="167">
        <v>1</v>
      </c>
      <c r="M83" s="167" t="s">
        <v>44</v>
      </c>
      <c r="N83" s="167"/>
      <c r="O83" s="168" t="s">
        <v>59</v>
      </c>
    </row>
    <row r="84" spans="1:15" s="157" customFormat="1" x14ac:dyDescent="0.25">
      <c r="A84" s="165" t="s">
        <v>107</v>
      </c>
      <c r="B84" s="166" t="s">
        <v>115</v>
      </c>
      <c r="C84" s="167" t="s">
        <v>7</v>
      </c>
      <c r="D84" s="167"/>
      <c r="E84" s="167" t="s">
        <v>13</v>
      </c>
      <c r="F84" s="167" t="s">
        <v>9</v>
      </c>
      <c r="G84" s="167"/>
      <c r="H84" s="167" t="s">
        <v>43</v>
      </c>
      <c r="I84" s="167"/>
      <c r="J84" s="167"/>
      <c r="K84" s="167">
        <v>1</v>
      </c>
      <c r="L84" s="167"/>
      <c r="M84" s="167"/>
      <c r="N84" s="167"/>
      <c r="O84" s="168"/>
    </row>
    <row r="85" spans="1:15" s="157" customFormat="1" x14ac:dyDescent="0.25">
      <c r="A85" s="165" t="s">
        <v>119</v>
      </c>
      <c r="B85" s="166" t="s">
        <v>51</v>
      </c>
      <c r="C85" s="167" t="s">
        <v>6</v>
      </c>
      <c r="D85" s="167"/>
      <c r="E85" s="167" t="s">
        <v>10</v>
      </c>
      <c r="F85" s="167" t="s">
        <v>9</v>
      </c>
      <c r="G85" s="167">
        <v>12</v>
      </c>
      <c r="H85" s="167" t="s">
        <v>100</v>
      </c>
      <c r="I85" s="167"/>
      <c r="J85" s="167"/>
      <c r="K85" s="167">
        <v>1</v>
      </c>
      <c r="L85" s="167"/>
      <c r="M85" s="167"/>
      <c r="N85" s="167">
        <v>1</v>
      </c>
      <c r="O85" s="168" t="s">
        <v>45</v>
      </c>
    </row>
    <row r="86" spans="1:15" s="157" customFormat="1" x14ac:dyDescent="0.25">
      <c r="A86" s="165" t="s">
        <v>33</v>
      </c>
      <c r="B86" s="166" t="s">
        <v>113</v>
      </c>
      <c r="C86" s="167" t="s">
        <v>6</v>
      </c>
      <c r="D86" s="167"/>
      <c r="E86" s="167" t="s">
        <v>9</v>
      </c>
      <c r="F86" s="167" t="s">
        <v>11</v>
      </c>
      <c r="G86" s="167"/>
      <c r="H86" s="167" t="s">
        <v>55</v>
      </c>
      <c r="I86" s="167">
        <v>1</v>
      </c>
      <c r="J86" s="167"/>
      <c r="K86" s="167"/>
      <c r="L86" s="167"/>
      <c r="M86" s="167"/>
      <c r="N86" s="167"/>
      <c r="O86" s="168" t="s">
        <v>45</v>
      </c>
    </row>
    <row r="87" spans="1:15" s="157" customFormat="1" x14ac:dyDescent="0.25">
      <c r="A87" s="165" t="s">
        <v>107</v>
      </c>
      <c r="B87" s="166" t="s">
        <v>61</v>
      </c>
      <c r="C87" s="167" t="s">
        <v>6</v>
      </c>
      <c r="D87" s="167"/>
      <c r="E87" s="167" t="s">
        <v>9</v>
      </c>
      <c r="F87" s="167" t="s">
        <v>9</v>
      </c>
      <c r="G87" s="167"/>
      <c r="H87" s="167" t="s">
        <v>100</v>
      </c>
      <c r="I87" s="167"/>
      <c r="J87" s="167"/>
      <c r="K87" s="167">
        <v>1</v>
      </c>
      <c r="L87" s="167">
        <v>1</v>
      </c>
      <c r="M87" s="167" t="s">
        <v>73</v>
      </c>
      <c r="N87" s="167"/>
      <c r="O87" s="168" t="s">
        <v>45</v>
      </c>
    </row>
    <row r="88" spans="1:15" s="157" customFormat="1" x14ac:dyDescent="0.25">
      <c r="A88" s="165" t="s">
        <v>120</v>
      </c>
      <c r="B88" s="166" t="s">
        <v>92</v>
      </c>
      <c r="C88" s="167" t="s">
        <v>7</v>
      </c>
      <c r="D88" s="167"/>
      <c r="E88" s="167" t="s">
        <v>9</v>
      </c>
      <c r="F88" s="167" t="s">
        <v>10</v>
      </c>
      <c r="G88" s="167"/>
      <c r="H88" s="167" t="s">
        <v>64</v>
      </c>
      <c r="I88" s="167"/>
      <c r="J88" s="167"/>
      <c r="K88" s="167"/>
      <c r="L88" s="167">
        <v>1</v>
      </c>
      <c r="M88" s="167" t="s">
        <v>44</v>
      </c>
      <c r="N88" s="167"/>
      <c r="O88" s="168"/>
    </row>
    <row r="89" spans="1:15" s="157" customFormat="1" x14ac:dyDescent="0.25">
      <c r="A89" s="165" t="s">
        <v>117</v>
      </c>
      <c r="B89" s="166" t="s">
        <v>79</v>
      </c>
      <c r="C89" s="167" t="s">
        <v>7</v>
      </c>
      <c r="D89" s="167"/>
      <c r="E89" s="167" t="s">
        <v>9</v>
      </c>
      <c r="F89" s="167" t="s">
        <v>9</v>
      </c>
      <c r="G89" s="167"/>
      <c r="H89" s="167" t="s">
        <v>64</v>
      </c>
      <c r="I89" s="167">
        <v>1</v>
      </c>
      <c r="J89" s="167"/>
      <c r="K89" s="167"/>
      <c r="L89" s="167"/>
      <c r="M89" s="167"/>
      <c r="N89" s="167"/>
      <c r="O89" s="168" t="s">
        <v>52</v>
      </c>
    </row>
    <row r="90" spans="1:15" s="157" customFormat="1" x14ac:dyDescent="0.25">
      <c r="A90" s="165" t="s">
        <v>121</v>
      </c>
      <c r="B90" s="166" t="s">
        <v>122</v>
      </c>
      <c r="C90" s="167" t="s">
        <v>7</v>
      </c>
      <c r="D90" s="167"/>
      <c r="E90" s="167" t="s">
        <v>9</v>
      </c>
      <c r="F90" s="167" t="s">
        <v>13</v>
      </c>
      <c r="G90" s="167"/>
      <c r="H90" s="167" t="s">
        <v>58</v>
      </c>
      <c r="I90" s="167"/>
      <c r="J90" s="167"/>
      <c r="K90" s="167">
        <v>1</v>
      </c>
      <c r="L90" s="167"/>
      <c r="M90" s="167"/>
      <c r="N90" s="167"/>
      <c r="O90" s="168" t="s">
        <v>49</v>
      </c>
    </row>
    <row r="91" spans="1:15" s="157" customFormat="1" x14ac:dyDescent="0.25">
      <c r="A91" s="165" t="s">
        <v>66</v>
      </c>
      <c r="B91" s="166" t="s">
        <v>96</v>
      </c>
      <c r="C91" s="167" t="s">
        <v>6</v>
      </c>
      <c r="D91" s="167"/>
      <c r="E91" s="167" t="s">
        <v>11</v>
      </c>
      <c r="F91" s="167" t="s">
        <v>13</v>
      </c>
      <c r="G91" s="167"/>
      <c r="H91" s="167" t="s">
        <v>55</v>
      </c>
      <c r="I91" s="167">
        <v>1</v>
      </c>
      <c r="J91" s="167"/>
      <c r="K91" s="167"/>
      <c r="L91" s="167"/>
      <c r="M91" s="167"/>
      <c r="N91" s="167"/>
      <c r="O91" s="168" t="s">
        <v>68</v>
      </c>
    </row>
    <row r="92" spans="1:15" s="157" customFormat="1" x14ac:dyDescent="0.25">
      <c r="A92" s="165" t="s">
        <v>106</v>
      </c>
      <c r="B92" s="166" t="s">
        <v>123</v>
      </c>
      <c r="C92" s="167" t="s">
        <v>6</v>
      </c>
      <c r="D92" s="167"/>
      <c r="E92" s="167" t="s">
        <v>11</v>
      </c>
      <c r="F92" s="167" t="s">
        <v>9</v>
      </c>
      <c r="G92" s="167"/>
      <c r="H92" s="167" t="s">
        <v>64</v>
      </c>
      <c r="I92" s="167">
        <v>1</v>
      </c>
      <c r="J92" s="167"/>
      <c r="K92" s="167"/>
      <c r="L92" s="167"/>
      <c r="M92" s="167"/>
      <c r="N92" s="167"/>
      <c r="O92" s="168" t="s">
        <v>49</v>
      </c>
    </row>
    <row r="93" spans="1:15" s="157" customFormat="1" x14ac:dyDescent="0.25">
      <c r="A93" s="165" t="s">
        <v>60</v>
      </c>
      <c r="B93" s="166" t="s">
        <v>87</v>
      </c>
      <c r="C93" s="167" t="s">
        <v>7</v>
      </c>
      <c r="D93" s="167"/>
      <c r="E93" s="167" t="s">
        <v>10</v>
      </c>
      <c r="F93" s="167" t="s">
        <v>10</v>
      </c>
      <c r="G93" s="167">
        <v>11</v>
      </c>
      <c r="H93" s="167" t="s">
        <v>88</v>
      </c>
      <c r="I93" s="167"/>
      <c r="J93" s="167"/>
      <c r="K93" s="167">
        <v>1</v>
      </c>
      <c r="L93" s="167"/>
      <c r="M93" s="167"/>
      <c r="N93" s="167"/>
      <c r="O93" s="168" t="s">
        <v>68</v>
      </c>
    </row>
    <row r="94" spans="1:15" s="157" customFormat="1" x14ac:dyDescent="0.25">
      <c r="A94" s="165" t="s">
        <v>107</v>
      </c>
      <c r="B94" s="166" t="s">
        <v>124</v>
      </c>
      <c r="C94" s="167" t="s">
        <v>6</v>
      </c>
      <c r="D94" s="167"/>
      <c r="E94" s="167" t="s">
        <v>10</v>
      </c>
      <c r="F94" s="167" t="s">
        <v>10</v>
      </c>
      <c r="G94" s="167">
        <v>14</v>
      </c>
      <c r="H94" s="167" t="s">
        <v>48</v>
      </c>
      <c r="I94" s="167"/>
      <c r="J94" s="167">
        <v>1</v>
      </c>
      <c r="K94" s="167"/>
      <c r="L94" s="167">
        <v>1</v>
      </c>
      <c r="M94" s="167" t="s">
        <v>75</v>
      </c>
      <c r="N94" s="167"/>
      <c r="O94" s="168"/>
    </row>
    <row r="95" spans="1:15" s="157" customFormat="1" x14ac:dyDescent="0.25">
      <c r="A95" s="165" t="s">
        <v>60</v>
      </c>
      <c r="B95" s="166" t="s">
        <v>124</v>
      </c>
      <c r="C95" s="167" t="s">
        <v>6</v>
      </c>
      <c r="D95" s="167"/>
      <c r="E95" s="167" t="s">
        <v>11</v>
      </c>
      <c r="F95" s="167" t="s">
        <v>9</v>
      </c>
      <c r="G95" s="167" t="s">
        <v>21</v>
      </c>
      <c r="H95" s="167" t="s">
        <v>88</v>
      </c>
      <c r="I95" s="167"/>
      <c r="J95" s="167">
        <v>1</v>
      </c>
      <c r="K95" s="167"/>
      <c r="L95" s="167"/>
      <c r="M95" s="167"/>
      <c r="N95" s="167"/>
      <c r="O95" s="168"/>
    </row>
    <row r="96" spans="1:15" s="157" customFormat="1" x14ac:dyDescent="0.25">
      <c r="A96" s="165" t="s">
        <v>105</v>
      </c>
      <c r="B96" s="166" t="s">
        <v>63</v>
      </c>
      <c r="C96" s="167" t="s">
        <v>6</v>
      </c>
      <c r="D96" s="167"/>
      <c r="E96" s="167" t="s">
        <v>11</v>
      </c>
      <c r="F96" s="167" t="s">
        <v>12</v>
      </c>
      <c r="G96" s="167"/>
      <c r="H96" s="167" t="s">
        <v>48</v>
      </c>
      <c r="I96" s="167"/>
      <c r="J96" s="167">
        <v>1</v>
      </c>
      <c r="K96" s="167"/>
      <c r="L96" s="167">
        <v>1</v>
      </c>
      <c r="M96" s="167" t="s">
        <v>73</v>
      </c>
      <c r="N96" s="167"/>
      <c r="O96" s="168" t="s">
        <v>36</v>
      </c>
    </row>
    <row r="97" spans="1:15" s="157" customFormat="1" x14ac:dyDescent="0.25">
      <c r="A97" s="165" t="s">
        <v>117</v>
      </c>
      <c r="B97" s="166" t="s">
        <v>125</v>
      </c>
      <c r="C97" s="167" t="s">
        <v>6</v>
      </c>
      <c r="D97" s="167"/>
      <c r="E97" s="167" t="s">
        <v>10</v>
      </c>
      <c r="F97" s="167" t="s">
        <v>10</v>
      </c>
      <c r="G97" s="167"/>
      <c r="H97" s="167" t="s">
        <v>35</v>
      </c>
      <c r="I97" s="167">
        <v>1</v>
      </c>
      <c r="J97" s="167"/>
      <c r="K97" s="167"/>
      <c r="L97" s="167">
        <v>1</v>
      </c>
      <c r="M97" s="167" t="s">
        <v>75</v>
      </c>
      <c r="N97" s="167"/>
      <c r="O97" s="168"/>
    </row>
    <row r="98" spans="1:15" s="157" customFormat="1" x14ac:dyDescent="0.25">
      <c r="A98" s="165" t="s">
        <v>60</v>
      </c>
      <c r="B98" s="166" t="s">
        <v>116</v>
      </c>
      <c r="C98" s="167" t="s">
        <v>7</v>
      </c>
      <c r="D98" s="167"/>
      <c r="E98" s="167" t="s">
        <v>10</v>
      </c>
      <c r="F98" s="167" t="s">
        <v>10</v>
      </c>
      <c r="G98" s="167">
        <v>11</v>
      </c>
      <c r="H98" s="167" t="s">
        <v>58</v>
      </c>
      <c r="I98" s="167">
        <v>1</v>
      </c>
      <c r="J98" s="167"/>
      <c r="K98" s="167"/>
      <c r="L98" s="167"/>
      <c r="M98" s="167"/>
      <c r="N98" s="167"/>
      <c r="O98" s="168" t="s">
        <v>68</v>
      </c>
    </row>
    <row r="99" spans="1:15" s="157" customFormat="1" x14ac:dyDescent="0.25">
      <c r="A99" s="165" t="s">
        <v>56</v>
      </c>
      <c r="B99" s="166" t="s">
        <v>42</v>
      </c>
      <c r="C99" s="167" t="s">
        <v>7</v>
      </c>
      <c r="D99" s="167"/>
      <c r="E99" s="167" t="s">
        <v>10</v>
      </c>
      <c r="F99" s="167" t="s">
        <v>11</v>
      </c>
      <c r="G99" s="167">
        <v>13</v>
      </c>
      <c r="H99" s="167" t="s">
        <v>39</v>
      </c>
      <c r="I99" s="167"/>
      <c r="J99" s="167"/>
      <c r="K99" s="167">
        <v>1</v>
      </c>
      <c r="L99" s="167"/>
      <c r="M99" s="167"/>
      <c r="N99" s="167"/>
      <c r="O99" s="168" t="s">
        <v>40</v>
      </c>
    </row>
    <row r="100" spans="1:15" s="157" customFormat="1" x14ac:dyDescent="0.25">
      <c r="A100" s="165" t="s">
        <v>107</v>
      </c>
      <c r="B100" s="166" t="s">
        <v>115</v>
      </c>
      <c r="C100" s="167" t="s">
        <v>7</v>
      </c>
      <c r="D100" s="167"/>
      <c r="E100" s="167" t="s">
        <v>13</v>
      </c>
      <c r="F100" s="167" t="s">
        <v>10</v>
      </c>
      <c r="G100" s="167">
        <v>12</v>
      </c>
      <c r="H100" s="167" t="s">
        <v>48</v>
      </c>
      <c r="I100" s="167">
        <v>1</v>
      </c>
      <c r="J100" s="167"/>
      <c r="K100" s="167"/>
      <c r="L100" s="167"/>
      <c r="M100" s="167"/>
      <c r="N100" s="167"/>
      <c r="O100" s="168" t="s">
        <v>36</v>
      </c>
    </row>
    <row r="101" spans="1:15" s="157" customFormat="1" x14ac:dyDescent="0.25">
      <c r="A101" s="165" t="s">
        <v>60</v>
      </c>
      <c r="B101" s="166" t="s">
        <v>126</v>
      </c>
      <c r="C101" s="167" t="s">
        <v>6</v>
      </c>
      <c r="D101" s="167"/>
      <c r="E101" s="167" t="s">
        <v>10</v>
      </c>
      <c r="F101" s="167" t="s">
        <v>10</v>
      </c>
      <c r="G101" s="167">
        <v>10</v>
      </c>
      <c r="H101" s="167" t="s">
        <v>35</v>
      </c>
      <c r="I101" s="167">
        <v>1</v>
      </c>
      <c r="J101" s="167"/>
      <c r="K101" s="167"/>
      <c r="L101" s="167"/>
      <c r="M101" s="167"/>
      <c r="N101" s="167"/>
      <c r="O101" s="168"/>
    </row>
    <row r="102" spans="1:15" s="157" customFormat="1" x14ac:dyDescent="0.25">
      <c r="A102" s="165" t="s">
        <v>107</v>
      </c>
      <c r="B102" s="166" t="s">
        <v>116</v>
      </c>
      <c r="C102" s="167" t="s">
        <v>7</v>
      </c>
      <c r="D102" s="167" t="s">
        <v>14</v>
      </c>
      <c r="E102" s="167" t="s">
        <v>11</v>
      </c>
      <c r="F102" s="167" t="s">
        <v>9</v>
      </c>
      <c r="G102" s="167"/>
      <c r="H102" s="167" t="s">
        <v>100</v>
      </c>
      <c r="I102" s="167"/>
      <c r="J102" s="167">
        <v>1</v>
      </c>
      <c r="K102" s="167"/>
      <c r="L102" s="167">
        <v>1</v>
      </c>
      <c r="M102" s="167" t="s">
        <v>44</v>
      </c>
      <c r="N102" s="167"/>
      <c r="O102" s="168"/>
    </row>
    <row r="103" spans="1:15" s="157" customFormat="1" x14ac:dyDescent="0.25">
      <c r="A103" s="165" t="s">
        <v>74</v>
      </c>
      <c r="B103" s="166" t="s">
        <v>87</v>
      </c>
      <c r="C103" s="167" t="s">
        <v>7</v>
      </c>
      <c r="D103" s="167"/>
      <c r="E103" s="167" t="s">
        <v>9</v>
      </c>
      <c r="F103" s="167" t="s">
        <v>9</v>
      </c>
      <c r="G103" s="167"/>
      <c r="H103" s="167" t="s">
        <v>100</v>
      </c>
      <c r="I103" s="167"/>
      <c r="J103" s="167">
        <v>1</v>
      </c>
      <c r="K103" s="167"/>
      <c r="L103" s="167">
        <v>1</v>
      </c>
      <c r="M103" s="167" t="s">
        <v>75</v>
      </c>
      <c r="N103" s="167"/>
      <c r="O103" s="168" t="s">
        <v>77</v>
      </c>
    </row>
    <row r="104" spans="1:15" s="157" customFormat="1" x14ac:dyDescent="0.25">
      <c r="A104" s="165" t="s">
        <v>127</v>
      </c>
      <c r="B104" s="166" t="s">
        <v>113</v>
      </c>
      <c r="C104" s="167" t="s">
        <v>6</v>
      </c>
      <c r="D104" s="167"/>
      <c r="E104" s="167" t="s">
        <v>9</v>
      </c>
      <c r="F104" s="167" t="s">
        <v>10</v>
      </c>
      <c r="G104" s="167"/>
      <c r="H104" s="167" t="s">
        <v>43</v>
      </c>
      <c r="I104" s="167">
        <v>1</v>
      </c>
      <c r="J104" s="167"/>
      <c r="K104" s="167"/>
      <c r="L104" s="167">
        <v>1</v>
      </c>
      <c r="M104" s="167" t="s">
        <v>75</v>
      </c>
      <c r="N104" s="167"/>
      <c r="O104" s="168" t="s">
        <v>45</v>
      </c>
    </row>
    <row r="105" spans="1:15" s="157" customFormat="1" x14ac:dyDescent="0.25">
      <c r="A105" s="165" t="s">
        <v>89</v>
      </c>
      <c r="B105" s="166" t="s">
        <v>70</v>
      </c>
      <c r="C105" s="167" t="s">
        <v>6</v>
      </c>
      <c r="D105" s="167"/>
      <c r="E105" s="167" t="s">
        <v>10</v>
      </c>
      <c r="F105" s="167" t="s">
        <v>9</v>
      </c>
      <c r="G105" s="167"/>
      <c r="H105" s="167" t="s">
        <v>88</v>
      </c>
      <c r="I105" s="167"/>
      <c r="J105" s="167">
        <v>1</v>
      </c>
      <c r="K105" s="167"/>
      <c r="L105" s="167">
        <v>1</v>
      </c>
      <c r="M105" s="167" t="s">
        <v>73</v>
      </c>
      <c r="N105" s="167"/>
      <c r="O105" s="168" t="s">
        <v>77</v>
      </c>
    </row>
    <row r="106" spans="1:15" s="157" customFormat="1" x14ac:dyDescent="0.25">
      <c r="A106" s="165" t="s">
        <v>33</v>
      </c>
      <c r="B106" s="166" t="s">
        <v>126</v>
      </c>
      <c r="C106" s="167" t="s">
        <v>6</v>
      </c>
      <c r="D106" s="167"/>
      <c r="E106" s="167" t="s">
        <v>11</v>
      </c>
      <c r="F106" s="167" t="s">
        <v>9</v>
      </c>
      <c r="G106" s="167" t="s">
        <v>21</v>
      </c>
      <c r="H106" s="167" t="s">
        <v>64</v>
      </c>
      <c r="I106" s="167"/>
      <c r="J106" s="167">
        <v>1</v>
      </c>
      <c r="K106" s="167"/>
      <c r="L106" s="167">
        <v>1</v>
      </c>
      <c r="M106" s="167" t="s">
        <v>75</v>
      </c>
      <c r="N106" s="167"/>
      <c r="O106" s="168" t="s">
        <v>40</v>
      </c>
    </row>
    <row r="107" spans="1:15" s="157" customFormat="1" x14ac:dyDescent="0.25">
      <c r="A107" s="165" t="s">
        <v>41</v>
      </c>
      <c r="B107" s="166" t="s">
        <v>115</v>
      </c>
      <c r="C107" s="167" t="s">
        <v>7</v>
      </c>
      <c r="D107" s="167"/>
      <c r="E107" s="167" t="s">
        <v>10</v>
      </c>
      <c r="F107" s="167" t="s">
        <v>12</v>
      </c>
      <c r="G107" s="167"/>
      <c r="H107" s="167" t="s">
        <v>55</v>
      </c>
      <c r="I107" s="167">
        <v>1</v>
      </c>
      <c r="J107" s="167"/>
      <c r="K107" s="167"/>
      <c r="L107" s="167"/>
      <c r="M107" s="167"/>
      <c r="N107" s="167"/>
      <c r="O107" s="168" t="s">
        <v>59</v>
      </c>
    </row>
    <row r="108" spans="1:15" s="157" customFormat="1" x14ac:dyDescent="0.25">
      <c r="A108" s="165" t="s">
        <v>91</v>
      </c>
      <c r="B108" s="166" t="s">
        <v>104</v>
      </c>
      <c r="C108" s="167" t="s">
        <v>6</v>
      </c>
      <c r="D108" s="167"/>
      <c r="E108" s="167" t="s">
        <v>11</v>
      </c>
      <c r="F108" s="167" t="s">
        <v>9</v>
      </c>
      <c r="G108" s="167"/>
      <c r="H108" s="167" t="s">
        <v>35</v>
      </c>
      <c r="I108" s="167"/>
      <c r="J108" s="167"/>
      <c r="K108" s="167">
        <v>1</v>
      </c>
      <c r="L108" s="167"/>
      <c r="M108" s="167"/>
      <c r="N108" s="167">
        <v>1</v>
      </c>
      <c r="O108" s="168" t="s">
        <v>40</v>
      </c>
    </row>
    <row r="109" spans="1:15" s="157" customFormat="1" x14ac:dyDescent="0.25">
      <c r="A109" s="165" t="s">
        <v>37</v>
      </c>
      <c r="B109" s="166" t="s">
        <v>79</v>
      </c>
      <c r="C109" s="167" t="s">
        <v>7</v>
      </c>
      <c r="D109" s="167"/>
      <c r="E109" s="167" t="s">
        <v>11</v>
      </c>
      <c r="F109" s="167" t="s">
        <v>13</v>
      </c>
      <c r="G109" s="167"/>
      <c r="H109" s="167" t="s">
        <v>88</v>
      </c>
      <c r="I109" s="167">
        <v>1</v>
      </c>
      <c r="J109" s="167"/>
      <c r="K109" s="167"/>
      <c r="L109" s="167"/>
      <c r="M109" s="167"/>
      <c r="N109" s="167"/>
      <c r="O109" s="168"/>
    </row>
    <row r="110" spans="1:15" s="157" customFormat="1" x14ac:dyDescent="0.25">
      <c r="A110" s="165" t="s">
        <v>119</v>
      </c>
      <c r="B110" s="166" t="s">
        <v>104</v>
      </c>
      <c r="C110" s="167" t="s">
        <v>6</v>
      </c>
      <c r="D110" s="167"/>
      <c r="E110" s="167" t="s">
        <v>10</v>
      </c>
      <c r="F110" s="167" t="s">
        <v>9</v>
      </c>
      <c r="G110" s="167"/>
      <c r="H110" s="167" t="s">
        <v>100</v>
      </c>
      <c r="I110" s="167"/>
      <c r="J110" s="167"/>
      <c r="K110" s="167"/>
      <c r="L110" s="167"/>
      <c r="M110" s="167"/>
      <c r="N110" s="167">
        <v>1</v>
      </c>
      <c r="O110" s="168"/>
    </row>
    <row r="111" spans="1:15" s="157" customFormat="1" x14ac:dyDescent="0.25">
      <c r="A111" s="165" t="s">
        <v>86</v>
      </c>
      <c r="B111" s="166" t="s">
        <v>128</v>
      </c>
      <c r="C111" s="167" t="s">
        <v>6</v>
      </c>
      <c r="D111" s="167" t="s">
        <v>14</v>
      </c>
      <c r="E111" s="167" t="s">
        <v>11</v>
      </c>
      <c r="F111" s="167" t="s">
        <v>9</v>
      </c>
      <c r="G111" s="167"/>
      <c r="H111" s="167" t="s">
        <v>58</v>
      </c>
      <c r="I111" s="167">
        <v>1</v>
      </c>
      <c r="J111" s="167"/>
      <c r="K111" s="167"/>
      <c r="L111" s="167"/>
      <c r="M111" s="167"/>
      <c r="N111" s="167"/>
      <c r="O111" s="168"/>
    </row>
    <row r="112" spans="1:15" s="157" customFormat="1" x14ac:dyDescent="0.25">
      <c r="A112" s="165" t="s">
        <v>69</v>
      </c>
      <c r="B112" s="166" t="s">
        <v>110</v>
      </c>
      <c r="C112" s="167" t="s">
        <v>6</v>
      </c>
      <c r="D112" s="167"/>
      <c r="E112" s="167" t="s">
        <v>12</v>
      </c>
      <c r="F112" s="167" t="s">
        <v>9</v>
      </c>
      <c r="G112" s="167"/>
      <c r="H112" s="167" t="s">
        <v>88</v>
      </c>
      <c r="I112" s="167"/>
      <c r="J112" s="167"/>
      <c r="K112" s="167">
        <v>1</v>
      </c>
      <c r="L112" s="167"/>
      <c r="M112" s="167"/>
      <c r="N112" s="167"/>
      <c r="O112" s="168" t="s">
        <v>59</v>
      </c>
    </row>
    <row r="113" spans="1:15" s="157" customFormat="1" x14ac:dyDescent="0.25">
      <c r="A113" s="165" t="s">
        <v>86</v>
      </c>
      <c r="B113" s="166" t="s">
        <v>76</v>
      </c>
      <c r="C113" s="167" t="s">
        <v>6</v>
      </c>
      <c r="D113" s="167"/>
      <c r="E113" s="167" t="s">
        <v>13</v>
      </c>
      <c r="F113" s="167" t="s">
        <v>10</v>
      </c>
      <c r="G113" s="167"/>
      <c r="H113" s="167" t="s">
        <v>48</v>
      </c>
      <c r="I113" s="167"/>
      <c r="J113" s="167"/>
      <c r="K113" s="167">
        <v>1</v>
      </c>
      <c r="L113" s="167"/>
      <c r="M113" s="167"/>
      <c r="N113" s="167"/>
      <c r="O113" s="168"/>
    </row>
    <row r="114" spans="1:15" s="157" customFormat="1" x14ac:dyDescent="0.25">
      <c r="A114" s="165" t="s">
        <v>121</v>
      </c>
      <c r="B114" s="166" t="s">
        <v>129</v>
      </c>
      <c r="C114" s="167" t="s">
        <v>7</v>
      </c>
      <c r="D114" s="167"/>
      <c r="E114" s="167" t="s">
        <v>13</v>
      </c>
      <c r="F114" s="167" t="s">
        <v>12</v>
      </c>
      <c r="G114" s="167"/>
      <c r="H114" s="167" t="s">
        <v>88</v>
      </c>
      <c r="I114" s="167">
        <v>1</v>
      </c>
      <c r="J114" s="167"/>
      <c r="K114" s="167"/>
      <c r="L114" s="167"/>
      <c r="M114" s="167"/>
      <c r="N114" s="167"/>
      <c r="O114" s="168"/>
    </row>
    <row r="115" spans="1:15" s="157" customFormat="1" x14ac:dyDescent="0.25">
      <c r="A115" s="165" t="s">
        <v>130</v>
      </c>
      <c r="B115" s="166" t="s">
        <v>83</v>
      </c>
      <c r="C115" s="167" t="s">
        <v>7</v>
      </c>
      <c r="D115" s="167"/>
      <c r="E115" s="167" t="s">
        <v>11</v>
      </c>
      <c r="F115" s="167" t="s">
        <v>12</v>
      </c>
      <c r="G115" s="167"/>
      <c r="H115" s="167" t="s">
        <v>48</v>
      </c>
      <c r="I115" s="167">
        <v>1</v>
      </c>
      <c r="J115" s="167"/>
      <c r="K115" s="167"/>
      <c r="L115" s="167"/>
      <c r="M115" s="167"/>
      <c r="N115" s="167"/>
      <c r="O115" s="168"/>
    </row>
    <row r="116" spans="1:15" s="157" customFormat="1" x14ac:dyDescent="0.25">
      <c r="A116" s="165" t="s">
        <v>53</v>
      </c>
      <c r="B116" s="166" t="s">
        <v>94</v>
      </c>
      <c r="C116" s="167" t="s">
        <v>6</v>
      </c>
      <c r="D116" s="167" t="s">
        <v>14</v>
      </c>
      <c r="E116" s="167" t="s">
        <v>11</v>
      </c>
      <c r="F116" s="167" t="s">
        <v>12</v>
      </c>
      <c r="G116" s="167"/>
      <c r="H116" s="167" t="s">
        <v>64</v>
      </c>
      <c r="I116" s="167"/>
      <c r="J116" s="167">
        <v>1</v>
      </c>
      <c r="K116" s="167"/>
      <c r="L116" s="167"/>
      <c r="M116" s="167"/>
      <c r="N116" s="167"/>
      <c r="O116" s="168"/>
    </row>
    <row r="117" spans="1:15" s="157" customFormat="1" x14ac:dyDescent="0.25">
      <c r="A117" s="165" t="s">
        <v>107</v>
      </c>
      <c r="B117" s="166" t="s">
        <v>87</v>
      </c>
      <c r="C117" s="167" t="s">
        <v>7</v>
      </c>
      <c r="D117" s="167" t="s">
        <v>14</v>
      </c>
      <c r="E117" s="167" t="s">
        <v>11</v>
      </c>
      <c r="F117" s="167" t="s">
        <v>10</v>
      </c>
      <c r="G117" s="167"/>
      <c r="H117" s="167" t="s">
        <v>88</v>
      </c>
      <c r="I117" s="167"/>
      <c r="J117" s="167">
        <v>1</v>
      </c>
      <c r="K117" s="167"/>
      <c r="L117" s="167"/>
      <c r="M117" s="167"/>
      <c r="N117" s="167"/>
      <c r="O117" s="168" t="s">
        <v>40</v>
      </c>
    </row>
    <row r="118" spans="1:15" s="157" customFormat="1" x14ac:dyDescent="0.25">
      <c r="A118" s="165" t="s">
        <v>97</v>
      </c>
      <c r="B118" s="166" t="s">
        <v>102</v>
      </c>
      <c r="C118" s="167" t="s">
        <v>7</v>
      </c>
      <c r="D118" s="167"/>
      <c r="E118" s="167" t="s">
        <v>11</v>
      </c>
      <c r="F118" s="167" t="s">
        <v>10</v>
      </c>
      <c r="G118" s="167"/>
      <c r="H118" s="167" t="s">
        <v>100</v>
      </c>
      <c r="I118" s="167"/>
      <c r="J118" s="167">
        <v>1</v>
      </c>
      <c r="K118" s="167"/>
      <c r="L118" s="167"/>
      <c r="M118" s="167"/>
      <c r="N118" s="167"/>
      <c r="O118" s="168" t="s">
        <v>45</v>
      </c>
    </row>
    <row r="119" spans="1:15" s="157" customFormat="1" x14ac:dyDescent="0.25">
      <c r="A119" s="165" t="s">
        <v>69</v>
      </c>
      <c r="B119" s="166" t="s">
        <v>96</v>
      </c>
      <c r="C119" s="167" t="s">
        <v>6</v>
      </c>
      <c r="D119" s="167"/>
      <c r="E119" s="167" t="s">
        <v>11</v>
      </c>
      <c r="F119" s="167" t="s">
        <v>9</v>
      </c>
      <c r="G119" s="167">
        <v>11</v>
      </c>
      <c r="H119" s="167" t="s">
        <v>55</v>
      </c>
      <c r="I119" s="167"/>
      <c r="J119" s="167">
        <v>1</v>
      </c>
      <c r="K119" s="167"/>
      <c r="L119" s="167"/>
      <c r="M119" s="167"/>
      <c r="N119" s="167"/>
      <c r="O119" s="168" t="s">
        <v>40</v>
      </c>
    </row>
    <row r="120" spans="1:15" s="157" customFormat="1" x14ac:dyDescent="0.25">
      <c r="A120" s="165" t="s">
        <v>60</v>
      </c>
      <c r="B120" s="166" t="s">
        <v>99</v>
      </c>
      <c r="C120" s="167" t="s">
        <v>7</v>
      </c>
      <c r="D120" s="167"/>
      <c r="E120" s="167" t="s">
        <v>9</v>
      </c>
      <c r="F120" s="167" t="s">
        <v>9</v>
      </c>
      <c r="G120" s="167"/>
      <c r="H120" s="167" t="s">
        <v>35</v>
      </c>
      <c r="I120" s="167">
        <v>1</v>
      </c>
      <c r="J120" s="167"/>
      <c r="K120" s="167"/>
      <c r="L120" s="167">
        <v>1</v>
      </c>
      <c r="M120" s="167" t="s">
        <v>73</v>
      </c>
      <c r="N120" s="167"/>
      <c r="O120" s="168" t="s">
        <v>36</v>
      </c>
    </row>
    <row r="121" spans="1:15" s="157" customFormat="1" x14ac:dyDescent="0.25">
      <c r="A121" s="165" t="s">
        <v>106</v>
      </c>
      <c r="B121" s="166" t="s">
        <v>90</v>
      </c>
      <c r="C121" s="167" t="s">
        <v>7</v>
      </c>
      <c r="D121" s="167"/>
      <c r="E121" s="167" t="s">
        <v>10</v>
      </c>
      <c r="F121" s="167" t="s">
        <v>12</v>
      </c>
      <c r="G121" s="167"/>
      <c r="H121" s="167" t="s">
        <v>100</v>
      </c>
      <c r="I121" s="167"/>
      <c r="J121" s="167"/>
      <c r="K121" s="167">
        <v>1</v>
      </c>
      <c r="L121" s="167"/>
      <c r="M121" s="167"/>
      <c r="N121" s="167"/>
      <c r="O121" s="168" t="s">
        <v>45</v>
      </c>
    </row>
    <row r="122" spans="1:15" s="157" customFormat="1" x14ac:dyDescent="0.25">
      <c r="A122" s="165" t="s">
        <v>97</v>
      </c>
      <c r="B122" s="166" t="s">
        <v>131</v>
      </c>
      <c r="C122" s="167" t="s">
        <v>6</v>
      </c>
      <c r="D122" s="167"/>
      <c r="E122" s="167" t="s">
        <v>9</v>
      </c>
      <c r="F122" s="167" t="s">
        <v>10</v>
      </c>
      <c r="G122" s="167">
        <v>11</v>
      </c>
      <c r="H122" s="167" t="s">
        <v>100</v>
      </c>
      <c r="I122" s="167"/>
      <c r="J122" s="167"/>
      <c r="K122" s="167"/>
      <c r="L122" s="167"/>
      <c r="M122" s="167"/>
      <c r="N122" s="167"/>
      <c r="O122" s="168" t="s">
        <v>49</v>
      </c>
    </row>
    <row r="123" spans="1:15" s="157" customFormat="1" x14ac:dyDescent="0.25">
      <c r="A123" s="165" t="s">
        <v>132</v>
      </c>
      <c r="B123" s="166" t="s">
        <v>42</v>
      </c>
      <c r="C123" s="167" t="s">
        <v>7</v>
      </c>
      <c r="D123" s="167"/>
      <c r="E123" s="167" t="s">
        <v>11</v>
      </c>
      <c r="F123" s="167" t="s">
        <v>10</v>
      </c>
      <c r="G123" s="167">
        <v>12</v>
      </c>
      <c r="H123" s="167" t="s">
        <v>58</v>
      </c>
      <c r="I123" s="167"/>
      <c r="J123" s="167"/>
      <c r="K123" s="167"/>
      <c r="L123" s="167"/>
      <c r="M123" s="167"/>
      <c r="N123" s="167"/>
      <c r="O123" s="168"/>
    </row>
    <row r="124" spans="1:15" s="157" customFormat="1" x14ac:dyDescent="0.25">
      <c r="A124" s="165" t="s">
        <v>133</v>
      </c>
      <c r="B124" s="166" t="s">
        <v>92</v>
      </c>
      <c r="C124" s="167" t="s">
        <v>7</v>
      </c>
      <c r="D124" s="167" t="s">
        <v>14</v>
      </c>
      <c r="E124" s="167" t="s">
        <v>12</v>
      </c>
      <c r="F124" s="167" t="s">
        <v>10</v>
      </c>
      <c r="G124" s="167"/>
      <c r="H124" s="167" t="s">
        <v>48</v>
      </c>
      <c r="I124" s="167">
        <v>1</v>
      </c>
      <c r="J124" s="167"/>
      <c r="K124" s="167"/>
      <c r="L124" s="167"/>
      <c r="M124" s="167"/>
      <c r="N124" s="167"/>
      <c r="O124" s="168" t="s">
        <v>36</v>
      </c>
    </row>
    <row r="125" spans="1:15" s="157" customFormat="1" x14ac:dyDescent="0.25">
      <c r="A125" s="165" t="s">
        <v>80</v>
      </c>
      <c r="B125" s="166" t="s">
        <v>47</v>
      </c>
      <c r="C125" s="167" t="s">
        <v>7</v>
      </c>
      <c r="D125" s="167"/>
      <c r="E125" s="167" t="s">
        <v>11</v>
      </c>
      <c r="F125" s="167" t="s">
        <v>10</v>
      </c>
      <c r="G125" s="167"/>
      <c r="H125" s="167" t="s">
        <v>100</v>
      </c>
      <c r="I125" s="167">
        <v>1</v>
      </c>
      <c r="J125" s="167"/>
      <c r="K125" s="167"/>
      <c r="L125" s="167"/>
      <c r="M125" s="167"/>
      <c r="N125" s="167"/>
      <c r="O125" s="168" t="s">
        <v>59</v>
      </c>
    </row>
    <row r="126" spans="1:15" s="157" customFormat="1" x14ac:dyDescent="0.25">
      <c r="A126" s="165" t="s">
        <v>134</v>
      </c>
      <c r="B126" s="166" t="s">
        <v>72</v>
      </c>
      <c r="C126" s="167" t="s">
        <v>6</v>
      </c>
      <c r="D126" s="167"/>
      <c r="E126" s="167" t="s">
        <v>10</v>
      </c>
      <c r="F126" s="167" t="s">
        <v>10</v>
      </c>
      <c r="G126" s="167"/>
      <c r="H126" s="167" t="s">
        <v>64</v>
      </c>
      <c r="I126" s="167"/>
      <c r="J126" s="167">
        <v>1</v>
      </c>
      <c r="K126" s="167"/>
      <c r="L126" s="167"/>
      <c r="M126" s="167"/>
      <c r="N126" s="167"/>
      <c r="O126" s="168" t="s">
        <v>45</v>
      </c>
    </row>
    <row r="127" spans="1:15" s="157" customFormat="1" x14ac:dyDescent="0.25">
      <c r="A127" s="165" t="s">
        <v>111</v>
      </c>
      <c r="B127" s="166" t="s">
        <v>38</v>
      </c>
      <c r="C127" s="167" t="s">
        <v>6</v>
      </c>
      <c r="D127" s="167"/>
      <c r="E127" s="167" t="s">
        <v>13</v>
      </c>
      <c r="F127" s="167" t="s">
        <v>10</v>
      </c>
      <c r="G127" s="167"/>
      <c r="H127" s="167" t="s">
        <v>58</v>
      </c>
      <c r="I127" s="167"/>
      <c r="J127" s="167"/>
      <c r="K127" s="167">
        <v>1</v>
      </c>
      <c r="L127" s="167">
        <v>1</v>
      </c>
      <c r="M127" s="167" t="s">
        <v>75</v>
      </c>
      <c r="N127" s="167"/>
      <c r="O127" s="168"/>
    </row>
    <row r="128" spans="1:15" s="157" customFormat="1" x14ac:dyDescent="0.25">
      <c r="A128" s="165" t="s">
        <v>130</v>
      </c>
      <c r="B128" s="166" t="s">
        <v>126</v>
      </c>
      <c r="C128" s="167" t="s">
        <v>6</v>
      </c>
      <c r="D128" s="167"/>
      <c r="E128" s="167" t="s">
        <v>9</v>
      </c>
      <c r="F128" s="167" t="s">
        <v>10</v>
      </c>
      <c r="G128" s="167"/>
      <c r="H128" s="167" t="s">
        <v>55</v>
      </c>
      <c r="I128" s="167">
        <v>1</v>
      </c>
      <c r="J128" s="167"/>
      <c r="K128" s="167"/>
      <c r="L128" s="167"/>
      <c r="M128" s="167"/>
      <c r="N128" s="167"/>
      <c r="O128" s="168"/>
    </row>
    <row r="129" spans="1:15" s="157" customFormat="1" x14ac:dyDescent="0.25">
      <c r="A129" s="165" t="s">
        <v>133</v>
      </c>
      <c r="B129" s="166" t="s">
        <v>72</v>
      </c>
      <c r="C129" s="167" t="s">
        <v>6</v>
      </c>
      <c r="D129" s="167"/>
      <c r="E129" s="167" t="s">
        <v>11</v>
      </c>
      <c r="F129" s="167" t="s">
        <v>10</v>
      </c>
      <c r="G129" s="167"/>
      <c r="H129" s="167" t="s">
        <v>64</v>
      </c>
      <c r="I129" s="167"/>
      <c r="J129" s="167"/>
      <c r="K129" s="167">
        <v>1</v>
      </c>
      <c r="L129" s="167"/>
      <c r="M129" s="167"/>
      <c r="N129" s="167">
        <v>1</v>
      </c>
      <c r="O129" s="168" t="s">
        <v>52</v>
      </c>
    </row>
    <row r="130" spans="1:15" s="157" customFormat="1" x14ac:dyDescent="0.25">
      <c r="A130" s="165" t="s">
        <v>37</v>
      </c>
      <c r="B130" s="166" t="s">
        <v>126</v>
      </c>
      <c r="C130" s="167" t="s">
        <v>6</v>
      </c>
      <c r="D130" s="167"/>
      <c r="E130" s="167" t="s">
        <v>11</v>
      </c>
      <c r="F130" s="167" t="s">
        <v>10</v>
      </c>
      <c r="G130" s="167">
        <v>11</v>
      </c>
      <c r="H130" s="167" t="s">
        <v>100</v>
      </c>
      <c r="I130" s="167"/>
      <c r="J130" s="167"/>
      <c r="K130" s="167">
        <v>1</v>
      </c>
      <c r="L130" s="167"/>
      <c r="M130" s="167"/>
      <c r="N130" s="167">
        <v>1</v>
      </c>
      <c r="O130" s="168" t="s">
        <v>68</v>
      </c>
    </row>
    <row r="131" spans="1:15" s="157" customFormat="1" x14ac:dyDescent="0.25">
      <c r="A131" s="165" t="s">
        <v>118</v>
      </c>
      <c r="B131" s="166" t="s">
        <v>113</v>
      </c>
      <c r="C131" s="167" t="s">
        <v>6</v>
      </c>
      <c r="D131" s="167"/>
      <c r="E131" s="167" t="s">
        <v>9</v>
      </c>
      <c r="F131" s="167" t="s">
        <v>10</v>
      </c>
      <c r="G131" s="167">
        <v>12</v>
      </c>
      <c r="H131" s="167" t="s">
        <v>88</v>
      </c>
      <c r="I131" s="167"/>
      <c r="J131" s="167">
        <v>1</v>
      </c>
      <c r="K131" s="167"/>
      <c r="L131" s="167"/>
      <c r="M131" s="167"/>
      <c r="N131" s="167"/>
      <c r="O131" s="168"/>
    </row>
    <row r="132" spans="1:15" s="157" customFormat="1" x14ac:dyDescent="0.25">
      <c r="A132" s="165" t="s">
        <v>135</v>
      </c>
      <c r="B132" s="166" t="s">
        <v>51</v>
      </c>
      <c r="C132" s="167" t="s">
        <v>6</v>
      </c>
      <c r="D132" s="167"/>
      <c r="E132" s="167" t="s">
        <v>13</v>
      </c>
      <c r="F132" s="167" t="s">
        <v>9</v>
      </c>
      <c r="G132" s="167"/>
      <c r="H132" s="167" t="s">
        <v>43</v>
      </c>
      <c r="I132" s="167"/>
      <c r="J132" s="167"/>
      <c r="K132" s="167">
        <v>1</v>
      </c>
      <c r="L132" s="167"/>
      <c r="M132" s="167"/>
      <c r="N132" s="167"/>
      <c r="O132" s="168"/>
    </row>
    <row r="133" spans="1:15" s="157" customFormat="1" x14ac:dyDescent="0.25">
      <c r="A133" s="165" t="s">
        <v>127</v>
      </c>
      <c r="B133" s="166" t="s">
        <v>63</v>
      </c>
      <c r="C133" s="167" t="s">
        <v>6</v>
      </c>
      <c r="D133" s="167"/>
      <c r="E133" s="167" t="s">
        <v>9</v>
      </c>
      <c r="F133" s="167" t="s">
        <v>9</v>
      </c>
      <c r="G133" s="167"/>
      <c r="H133" s="167" t="s">
        <v>58</v>
      </c>
      <c r="I133" s="167"/>
      <c r="J133" s="167">
        <v>1</v>
      </c>
      <c r="K133" s="167"/>
      <c r="L133" s="167"/>
      <c r="M133" s="167"/>
      <c r="N133" s="167"/>
      <c r="O133" s="168" t="s">
        <v>77</v>
      </c>
    </row>
    <row r="134" spans="1:15" s="157" customFormat="1" x14ac:dyDescent="0.25">
      <c r="A134" s="165" t="s">
        <v>111</v>
      </c>
      <c r="B134" s="166" t="s">
        <v>47</v>
      </c>
      <c r="C134" s="167" t="s">
        <v>7</v>
      </c>
      <c r="D134" s="167"/>
      <c r="E134" s="167" t="s">
        <v>10</v>
      </c>
      <c r="F134" s="167" t="s">
        <v>9</v>
      </c>
      <c r="G134" s="167">
        <v>14</v>
      </c>
      <c r="H134" s="167" t="s">
        <v>55</v>
      </c>
      <c r="I134" s="167">
        <v>1</v>
      </c>
      <c r="J134" s="167"/>
      <c r="K134" s="167"/>
      <c r="L134" s="167"/>
      <c r="M134" s="167"/>
      <c r="N134" s="167"/>
      <c r="O134" s="168" t="s">
        <v>77</v>
      </c>
    </row>
    <row r="135" spans="1:15" s="157" customFormat="1" x14ac:dyDescent="0.25">
      <c r="A135" s="165" t="s">
        <v>134</v>
      </c>
      <c r="B135" s="166" t="s">
        <v>51</v>
      </c>
      <c r="C135" s="167" t="s">
        <v>6</v>
      </c>
      <c r="D135" s="167"/>
      <c r="E135" s="167" t="s">
        <v>10</v>
      </c>
      <c r="F135" s="167" t="s">
        <v>9</v>
      </c>
      <c r="G135" s="167"/>
      <c r="H135" s="167" t="s">
        <v>48</v>
      </c>
      <c r="I135" s="167"/>
      <c r="J135" s="167">
        <v>1</v>
      </c>
      <c r="K135" s="167"/>
      <c r="L135" s="167"/>
      <c r="M135" s="167"/>
      <c r="N135" s="167"/>
      <c r="O135" s="168" t="s">
        <v>40</v>
      </c>
    </row>
    <row r="136" spans="1:15" s="157" customFormat="1" x14ac:dyDescent="0.25">
      <c r="A136" s="165" t="s">
        <v>74</v>
      </c>
      <c r="B136" s="166" t="s">
        <v>34</v>
      </c>
      <c r="C136" s="167" t="s">
        <v>6</v>
      </c>
      <c r="D136" s="167"/>
      <c r="E136" s="167" t="s">
        <v>10</v>
      </c>
      <c r="F136" s="167" t="s">
        <v>9</v>
      </c>
      <c r="G136" s="167">
        <v>11</v>
      </c>
      <c r="H136" s="167" t="s">
        <v>100</v>
      </c>
      <c r="I136" s="167">
        <v>1</v>
      </c>
      <c r="J136" s="167"/>
      <c r="K136" s="167"/>
      <c r="L136" s="167"/>
      <c r="M136" s="167"/>
      <c r="N136" s="167">
        <v>1</v>
      </c>
      <c r="O136" s="168"/>
    </row>
    <row r="137" spans="1:15" s="157" customFormat="1" x14ac:dyDescent="0.25">
      <c r="A137" s="165" t="s">
        <v>74</v>
      </c>
      <c r="B137" s="166" t="s">
        <v>70</v>
      </c>
      <c r="C137" s="167" t="s">
        <v>6</v>
      </c>
      <c r="D137" s="167"/>
      <c r="E137" s="167" t="s">
        <v>9</v>
      </c>
      <c r="F137" s="167" t="s">
        <v>13</v>
      </c>
      <c r="G137" s="167">
        <v>14</v>
      </c>
      <c r="H137" s="167" t="s">
        <v>58</v>
      </c>
      <c r="I137" s="167"/>
      <c r="J137" s="167">
        <v>1</v>
      </c>
      <c r="K137" s="167"/>
      <c r="L137" s="167"/>
      <c r="M137" s="167"/>
      <c r="N137" s="167"/>
      <c r="O137" s="168"/>
    </row>
    <row r="138" spans="1:15" s="157" customFormat="1" x14ac:dyDescent="0.25">
      <c r="A138" s="165" t="s">
        <v>127</v>
      </c>
      <c r="B138" s="166" t="s">
        <v>47</v>
      </c>
      <c r="C138" s="167" t="s">
        <v>7</v>
      </c>
      <c r="D138" s="167"/>
      <c r="E138" s="167" t="s">
        <v>11</v>
      </c>
      <c r="F138" s="167" t="s">
        <v>12</v>
      </c>
      <c r="G138" s="167">
        <v>12</v>
      </c>
      <c r="H138" s="167" t="s">
        <v>48</v>
      </c>
      <c r="I138" s="167"/>
      <c r="J138" s="167">
        <v>1</v>
      </c>
      <c r="K138" s="167"/>
      <c r="L138" s="167">
        <v>1</v>
      </c>
      <c r="M138" s="167" t="s">
        <v>73</v>
      </c>
      <c r="N138" s="167"/>
      <c r="O138" s="168"/>
    </row>
    <row r="139" spans="1:15" s="157" customFormat="1" x14ac:dyDescent="0.25">
      <c r="A139" s="165" t="s">
        <v>84</v>
      </c>
      <c r="B139" s="166" t="s">
        <v>83</v>
      </c>
      <c r="C139" s="167" t="s">
        <v>7</v>
      </c>
      <c r="D139" s="167"/>
      <c r="E139" s="167" t="s">
        <v>13</v>
      </c>
      <c r="F139" s="167" t="s">
        <v>9</v>
      </c>
      <c r="G139" s="167" t="s">
        <v>21</v>
      </c>
      <c r="H139" s="167" t="s">
        <v>43</v>
      </c>
      <c r="I139" s="167"/>
      <c r="J139" s="167"/>
      <c r="K139" s="167">
        <v>1</v>
      </c>
      <c r="L139" s="167"/>
      <c r="M139" s="167"/>
      <c r="N139" s="167"/>
      <c r="O139" s="168" t="s">
        <v>49</v>
      </c>
    </row>
    <row r="140" spans="1:15" s="157" customFormat="1" x14ac:dyDescent="0.25">
      <c r="A140" s="165" t="s">
        <v>65</v>
      </c>
      <c r="B140" s="166" t="s">
        <v>126</v>
      </c>
      <c r="C140" s="167" t="s">
        <v>6</v>
      </c>
      <c r="D140" s="167"/>
      <c r="E140" s="167" t="s">
        <v>13</v>
      </c>
      <c r="F140" s="167" t="s">
        <v>13</v>
      </c>
      <c r="G140" s="167"/>
      <c r="H140" s="167" t="s">
        <v>100</v>
      </c>
      <c r="I140" s="167"/>
      <c r="J140" s="167">
        <v>1</v>
      </c>
      <c r="K140" s="167"/>
      <c r="L140" s="167"/>
      <c r="M140" s="167"/>
      <c r="N140" s="167"/>
      <c r="O140" s="168" t="s">
        <v>40</v>
      </c>
    </row>
    <row r="141" spans="1:15" s="157" customFormat="1" x14ac:dyDescent="0.25">
      <c r="A141" s="165" t="s">
        <v>112</v>
      </c>
      <c r="B141" s="166" t="s">
        <v>93</v>
      </c>
      <c r="C141" s="167" t="s">
        <v>6</v>
      </c>
      <c r="D141" s="167" t="s">
        <v>14</v>
      </c>
      <c r="E141" s="167" t="s">
        <v>13</v>
      </c>
      <c r="F141" s="167" t="s">
        <v>10</v>
      </c>
      <c r="G141" s="167" t="s">
        <v>21</v>
      </c>
      <c r="H141" s="167" t="s">
        <v>48</v>
      </c>
      <c r="I141" s="167">
        <v>1</v>
      </c>
      <c r="J141" s="167"/>
      <c r="K141" s="167"/>
      <c r="L141" s="167"/>
      <c r="M141" s="167"/>
      <c r="N141" s="167"/>
      <c r="O141" s="168" t="s">
        <v>77</v>
      </c>
    </row>
    <row r="142" spans="1:15" s="157" customFormat="1" x14ac:dyDescent="0.25">
      <c r="A142" s="165" t="s">
        <v>112</v>
      </c>
      <c r="B142" s="166" t="s">
        <v>82</v>
      </c>
      <c r="C142" s="167" t="s">
        <v>7</v>
      </c>
      <c r="D142" s="167"/>
      <c r="E142" s="167" t="s">
        <v>11</v>
      </c>
      <c r="F142" s="167" t="s">
        <v>10</v>
      </c>
      <c r="G142" s="167"/>
      <c r="H142" s="167" t="s">
        <v>35</v>
      </c>
      <c r="I142" s="167">
        <v>1</v>
      </c>
      <c r="J142" s="167"/>
      <c r="K142" s="167"/>
      <c r="L142" s="167"/>
      <c r="M142" s="167"/>
      <c r="N142" s="167"/>
      <c r="O142" s="168" t="s">
        <v>68</v>
      </c>
    </row>
    <row r="143" spans="1:15" s="157" customFormat="1" x14ac:dyDescent="0.25">
      <c r="A143" s="165" t="s">
        <v>86</v>
      </c>
      <c r="B143" s="166" t="s">
        <v>116</v>
      </c>
      <c r="C143" s="167" t="s">
        <v>7</v>
      </c>
      <c r="D143" s="167"/>
      <c r="E143" s="167" t="s">
        <v>11</v>
      </c>
      <c r="F143" s="167" t="s">
        <v>10</v>
      </c>
      <c r="G143" s="167"/>
      <c r="H143" s="167" t="s">
        <v>100</v>
      </c>
      <c r="I143" s="167"/>
      <c r="J143" s="167"/>
      <c r="K143" s="167"/>
      <c r="L143" s="167"/>
      <c r="M143" s="167"/>
      <c r="N143" s="167"/>
      <c r="O143" s="168"/>
    </row>
    <row r="144" spans="1:15" s="157" customFormat="1" x14ac:dyDescent="0.25">
      <c r="A144" s="165" t="s">
        <v>127</v>
      </c>
      <c r="B144" s="166" t="s">
        <v>93</v>
      </c>
      <c r="C144" s="167" t="s">
        <v>6</v>
      </c>
      <c r="D144" s="167"/>
      <c r="E144" s="167" t="s">
        <v>12</v>
      </c>
      <c r="F144" s="167" t="s">
        <v>9</v>
      </c>
      <c r="G144" s="167"/>
      <c r="H144" s="167" t="s">
        <v>100</v>
      </c>
      <c r="I144" s="167">
        <v>1</v>
      </c>
      <c r="J144" s="167"/>
      <c r="K144" s="167"/>
      <c r="L144" s="167"/>
      <c r="M144" s="167"/>
      <c r="N144" s="167"/>
      <c r="O144" s="168" t="s">
        <v>52</v>
      </c>
    </row>
    <row r="145" spans="1:15" s="157" customFormat="1" x14ac:dyDescent="0.25">
      <c r="A145" s="165" t="s">
        <v>89</v>
      </c>
      <c r="B145" s="166" t="s">
        <v>85</v>
      </c>
      <c r="C145" s="167" t="s">
        <v>6</v>
      </c>
      <c r="D145" s="167"/>
      <c r="E145" s="167" t="s">
        <v>9</v>
      </c>
      <c r="F145" s="167" t="s">
        <v>10</v>
      </c>
      <c r="G145" s="167"/>
      <c r="H145" s="167" t="s">
        <v>35</v>
      </c>
      <c r="I145" s="167">
        <v>1</v>
      </c>
      <c r="J145" s="167"/>
      <c r="K145" s="167"/>
      <c r="L145" s="167"/>
      <c r="M145" s="167"/>
      <c r="N145" s="167"/>
      <c r="O145" s="168" t="s">
        <v>52</v>
      </c>
    </row>
    <row r="146" spans="1:15" s="157" customFormat="1" x14ac:dyDescent="0.25">
      <c r="A146" s="165" t="s">
        <v>56</v>
      </c>
      <c r="B146" s="166" t="s">
        <v>99</v>
      </c>
      <c r="C146" s="167" t="s">
        <v>7</v>
      </c>
      <c r="D146" s="167"/>
      <c r="E146" s="167" t="s">
        <v>10</v>
      </c>
      <c r="F146" s="167" t="s">
        <v>10</v>
      </c>
      <c r="G146" s="167"/>
      <c r="H146" s="167" t="s">
        <v>35</v>
      </c>
      <c r="I146" s="167"/>
      <c r="J146" s="167"/>
      <c r="K146" s="167"/>
      <c r="L146" s="167"/>
      <c r="M146" s="167"/>
      <c r="N146" s="167"/>
      <c r="O146" s="168" t="s">
        <v>36</v>
      </c>
    </row>
    <row r="147" spans="1:15" s="157" customFormat="1" x14ac:dyDescent="0.25">
      <c r="A147" s="165" t="s">
        <v>117</v>
      </c>
      <c r="B147" s="166" t="s">
        <v>123</v>
      </c>
      <c r="C147" s="167" t="s">
        <v>6</v>
      </c>
      <c r="D147" s="167"/>
      <c r="E147" s="167" t="s">
        <v>10</v>
      </c>
      <c r="F147" s="167" t="s">
        <v>9</v>
      </c>
      <c r="G147" s="167">
        <v>12</v>
      </c>
      <c r="H147" s="167" t="s">
        <v>58</v>
      </c>
      <c r="I147" s="167">
        <v>1</v>
      </c>
      <c r="J147" s="167"/>
      <c r="K147" s="167"/>
      <c r="L147" s="167">
        <v>1</v>
      </c>
      <c r="M147" s="167" t="s">
        <v>73</v>
      </c>
      <c r="N147" s="167"/>
      <c r="O147" s="168" t="s">
        <v>36</v>
      </c>
    </row>
    <row r="148" spans="1:15" s="157" customFormat="1" x14ac:dyDescent="0.25">
      <c r="A148" s="165" t="s">
        <v>62</v>
      </c>
      <c r="B148" s="166" t="s">
        <v>34</v>
      </c>
      <c r="C148" s="167" t="s">
        <v>6</v>
      </c>
      <c r="D148" s="167"/>
      <c r="E148" s="167" t="s">
        <v>10</v>
      </c>
      <c r="F148" s="167" t="s">
        <v>10</v>
      </c>
      <c r="G148" s="167">
        <v>10</v>
      </c>
      <c r="H148" s="167" t="s">
        <v>100</v>
      </c>
      <c r="I148" s="167"/>
      <c r="J148" s="167">
        <v>1</v>
      </c>
      <c r="K148" s="167"/>
      <c r="L148" s="167"/>
      <c r="M148" s="167"/>
      <c r="N148" s="167"/>
      <c r="O148" s="168"/>
    </row>
    <row r="149" spans="1:15" s="157" customFormat="1" x14ac:dyDescent="0.25">
      <c r="A149" s="165" t="s">
        <v>136</v>
      </c>
      <c r="B149" s="166" t="s">
        <v>83</v>
      </c>
      <c r="C149" s="167" t="s">
        <v>7</v>
      </c>
      <c r="D149" s="167"/>
      <c r="E149" s="167" t="s">
        <v>11</v>
      </c>
      <c r="F149" s="167" t="s">
        <v>10</v>
      </c>
      <c r="G149" s="167"/>
      <c r="H149" s="167" t="s">
        <v>64</v>
      </c>
      <c r="I149" s="167"/>
      <c r="J149" s="167">
        <v>1</v>
      </c>
      <c r="K149" s="167"/>
      <c r="L149" s="167"/>
      <c r="M149" s="167"/>
      <c r="N149" s="167"/>
      <c r="O149" s="168" t="s">
        <v>36</v>
      </c>
    </row>
    <row r="150" spans="1:15" x14ac:dyDescent="0.25">
      <c r="A150" s="156"/>
      <c r="B150" s="156"/>
      <c r="C150" s="156"/>
      <c r="D150" s="156"/>
      <c r="E150" s="156"/>
      <c r="F150" s="156"/>
      <c r="G150" s="156"/>
      <c r="H150" s="156"/>
      <c r="I150" s="156"/>
      <c r="J150" s="156"/>
      <c r="K150" s="156"/>
      <c r="L150" s="156"/>
      <c r="M150" s="156"/>
      <c r="N150" s="156"/>
      <c r="O150" s="156"/>
    </row>
  </sheetData>
  <sheetProtection sheet="1" objects="1" scenarios="1" insertRows="0" deleteRows="0" sort="0" autoFilter="0"/>
  <autoFilter ref="A19:O149"/>
  <conditionalFormatting sqref="A20:B149">
    <cfRule type="expression" dxfId="24" priority="67">
      <formula>$F20="C"</formula>
    </cfRule>
    <cfRule type="expression" dxfId="25" priority="68">
      <formula>$F20="D"</formula>
    </cfRule>
    <cfRule type="expression" dxfId="26" priority="69">
      <formula>$F20="E"</formula>
    </cfRule>
    <cfRule type="expression" dxfId="27" priority="71">
      <formula>$G20=10</formula>
    </cfRule>
    <cfRule type="expression" dxfId="28" priority="73">
      <formula>$G20=11</formula>
    </cfRule>
    <cfRule type="expression" dxfId="29" priority="75">
      <formula>$G20=12</formula>
    </cfRule>
    <cfRule type="expression" dxfId="30" priority="77">
      <formula>$G20=13</formula>
    </cfRule>
    <cfRule type="expression" dxfId="31" priority="79">
      <formula>$G20=14</formula>
    </cfRule>
  </conditionalFormatting>
  <conditionalFormatting sqref="A20:O149">
    <cfRule type="expression" dxfId="15" priority="58" stopIfTrue="1">
      <formula>$G20="NA"</formula>
    </cfRule>
    <cfRule type="expression" dxfId="37" priority="85">
      <formula>$G20=""</formula>
    </cfRule>
  </conditionalFormatting>
  <conditionalFormatting sqref="C11">
    <cfRule type="cellIs" dxfId="0" priority="5" stopIfTrue="1" operator="equal">
      <formula>0</formula>
    </cfRule>
  </conditionalFormatting>
  <conditionalFormatting sqref="C12:C16">
    <cfRule type="cellIs" dxfId="1" priority="7" stopIfTrue="1" operator="equal">
      <formula>0</formula>
    </cfRule>
  </conditionalFormatting>
  <conditionalFormatting sqref="C17">
    <cfRule type="cellIs" dxfId="0" priority="6" stopIfTrue="1" operator="equal">
      <formula>0</formula>
    </cfRule>
  </conditionalFormatting>
  <conditionalFormatting sqref="C2">
    <cfRule type="cellIs" dxfId="0" priority="1" operator="equal">
      <formula>0</formula>
    </cfRule>
  </conditionalFormatting>
  <conditionalFormatting sqref="C20:C149">
    <cfRule type="cellIs" dxfId="16" priority="59" operator="equal">
      <formula>"F"</formula>
    </cfRule>
    <cfRule type="cellIs" dxfId="17" priority="60" operator="equal">
      <formula>"G"</formula>
    </cfRule>
  </conditionalFormatting>
  <conditionalFormatting sqref="C3:C4">
    <cfRule type="cellIs" dxfId="1" priority="2" operator="equal">
      <formula>0</formula>
    </cfRule>
  </conditionalFormatting>
  <conditionalFormatting sqref="C5:J5">
    <cfRule type="dataBar" priority="36">
      <dataBar>
        <cfvo type="num" val="-2"/>
        <cfvo type="num" val="102"/>
        <color rgb="FFCC66CC"/>
      </dataBar>
      <extLst>
        <ext xmlns:x14="http://schemas.microsoft.com/office/spreadsheetml/2009/9/main" uri="{B025F937-C7B1-47D3-B67F-A62EFF666E3E}">
          <x14:id>{DA7ABA51-AAAA-BBBB-0002-000000000001}</x14:id>
        </ext>
      </extLst>
    </cfRule>
  </conditionalFormatting>
  <conditionalFormatting sqref="C6:C10">
    <cfRule type="cellIs" dxfId="1" priority="3" stopIfTrue="1" operator="equal">
      <formula>0</formula>
    </cfRule>
    <cfRule type="dataBar" priority="4">
      <dataBar>
        <cfvo type="min"/>
        <cfvo type="max"/>
        <color rgb="FF00CC33"/>
      </dataBar>
      <extLst>
        <ext xmlns:x14="http://schemas.microsoft.com/office/spreadsheetml/2009/9/main" uri="{B025F937-C7B1-47D3-B67F-A62EFF666E3E}">
          <x14:id>{DA7ABA51-AAAA-BBBB-0002-000000000002}</x14:id>
        </ext>
      </extLst>
    </cfRule>
  </conditionalFormatting>
  <conditionalFormatting sqref="D11">
    <cfRule type="cellIs" dxfId="2" priority="12" stopIfTrue="1" operator="equal">
      <formula>0</formula>
    </cfRule>
  </conditionalFormatting>
  <conditionalFormatting sqref="D12:D16">
    <cfRule type="cellIs" dxfId="3" priority="14" stopIfTrue="1" operator="equal">
      <formula>0</formula>
    </cfRule>
  </conditionalFormatting>
  <conditionalFormatting sqref="D17">
    <cfRule type="cellIs" dxfId="2" priority="13" stopIfTrue="1" operator="equal">
      <formula>0</formula>
    </cfRule>
  </conditionalFormatting>
  <conditionalFormatting sqref="D2">
    <cfRule type="cellIs" dxfId="2" priority="8" operator="equal">
      <formula>0</formula>
    </cfRule>
  </conditionalFormatting>
  <conditionalFormatting sqref="D20:D149">
    <cfRule type="cellIs" dxfId="18" priority="61" operator="equal">
      <formula>"R"</formula>
    </cfRule>
  </conditionalFormatting>
  <conditionalFormatting sqref="D3:D4">
    <cfRule type="cellIs" dxfId="3" priority="9" operator="equal">
      <formula>0</formula>
    </cfRule>
  </conditionalFormatting>
  <conditionalFormatting sqref="D6:D10">
    <cfRule type="cellIs" dxfId="3" priority="10" stopIfTrue="1" operator="equal">
      <formula>0</formula>
    </cfRule>
    <cfRule type="dataBar" priority="11">
      <dataBar>
        <cfvo type="min"/>
        <cfvo type="max"/>
        <color rgb="FF00CCCC"/>
      </dataBar>
      <extLst>
        <ext xmlns:x14="http://schemas.microsoft.com/office/spreadsheetml/2009/9/main" uri="{B025F937-C7B1-47D3-B67F-A62EFF666E3E}">
          <x14:id>{DA7ABA51-AAAA-BBBB-0002-000000000003}</x14:id>
        </ext>
      </extLst>
    </cfRule>
  </conditionalFormatting>
  <conditionalFormatting sqref="E11">
    <cfRule type="cellIs" dxfId="4" priority="19" stopIfTrue="1" operator="equal">
      <formula>0</formula>
    </cfRule>
  </conditionalFormatting>
  <conditionalFormatting sqref="E12:E16">
    <cfRule type="cellIs" dxfId="5" priority="21" stopIfTrue="1" operator="equal">
      <formula>0</formula>
    </cfRule>
  </conditionalFormatting>
  <conditionalFormatting sqref="E17">
    <cfRule type="cellIs" dxfId="4" priority="20" stopIfTrue="1" operator="equal">
      <formula>0</formula>
    </cfRule>
  </conditionalFormatting>
  <conditionalFormatting sqref="E2">
    <cfRule type="cellIs" dxfId="4" priority="15" operator="equal">
      <formula>0</formula>
    </cfRule>
  </conditionalFormatting>
  <conditionalFormatting sqref="E20:F149">
    <cfRule type="cellIs" dxfId="19" priority="62" operator="equal">
      <formula>"A"</formula>
    </cfRule>
    <cfRule type="cellIs" dxfId="20" priority="63" operator="equal">
      <formula>"B"</formula>
    </cfRule>
    <cfRule type="cellIs" dxfId="21" priority="64" operator="equal">
      <formula>"C"</formula>
    </cfRule>
    <cfRule type="cellIs" dxfId="22" priority="65" operator="equal">
      <formula>"D"</formula>
    </cfRule>
    <cfRule type="cellIs" dxfId="23" priority="66" operator="equal">
      <formula>"E"</formula>
    </cfRule>
  </conditionalFormatting>
  <conditionalFormatting sqref="E3:E4">
    <cfRule type="cellIs" dxfId="5" priority="16" operator="equal">
      <formula>0</formula>
    </cfRule>
  </conditionalFormatting>
  <conditionalFormatting sqref="E6:E10">
    <cfRule type="cellIs" dxfId="5" priority="17" stopIfTrue="1" operator="equal">
      <formula>0</formula>
    </cfRule>
    <cfRule type="dataBar" priority="18">
      <dataBar>
        <cfvo type="min"/>
        <cfvo type="max"/>
        <color rgb="FFFF00FF"/>
      </dataBar>
      <extLst>
        <ext xmlns:x14="http://schemas.microsoft.com/office/spreadsheetml/2009/9/main" uri="{B025F937-C7B1-47D3-B67F-A62EFF666E3E}">
          <x14:id>{DA7ABA51-AAAA-BBBB-0002-000000000004}</x14:id>
        </ext>
      </extLst>
    </cfRule>
  </conditionalFormatting>
  <conditionalFormatting sqref="F11">
    <cfRule type="cellIs" dxfId="6" priority="26" stopIfTrue="1" operator="equal">
      <formula>0</formula>
    </cfRule>
  </conditionalFormatting>
  <conditionalFormatting sqref="F12:F16">
    <cfRule type="cellIs" dxfId="7" priority="28" stopIfTrue="1" operator="equal">
      <formula>0</formula>
    </cfRule>
  </conditionalFormatting>
  <conditionalFormatting sqref="F17">
    <cfRule type="cellIs" dxfId="6" priority="27" stopIfTrue="1" operator="equal">
      <formula>0</formula>
    </cfRule>
  </conditionalFormatting>
  <conditionalFormatting sqref="F2">
    <cfRule type="cellIs" dxfId="6" priority="22" operator="equal">
      <formula>0</formula>
    </cfRule>
  </conditionalFormatting>
  <conditionalFormatting sqref="F3:F4">
    <cfRule type="cellIs" dxfId="7" priority="23" operator="equal">
      <formula>0</formula>
    </cfRule>
  </conditionalFormatting>
  <conditionalFormatting sqref="F6:F10">
    <cfRule type="cellIs" dxfId="7" priority="24" stopIfTrue="1" operator="equal">
      <formula>0</formula>
    </cfRule>
    <cfRule type="dataBar" priority="25">
      <dataBar>
        <cfvo type="min"/>
        <cfvo type="max"/>
        <color rgb="FFFF9900"/>
      </dataBar>
      <extLst>
        <ext xmlns:x14="http://schemas.microsoft.com/office/spreadsheetml/2009/9/main" uri="{B025F937-C7B1-47D3-B67F-A62EFF666E3E}">
          <x14:id>{DA7ABA51-AAAA-BBBB-0002-000000000005}</x14:id>
        </ext>
      </extLst>
    </cfRule>
  </conditionalFormatting>
  <conditionalFormatting sqref="G11">
    <cfRule type="cellIs" dxfId="7" priority="33" stopIfTrue="1" operator="equal">
      <formula>0</formula>
    </cfRule>
  </conditionalFormatting>
  <conditionalFormatting sqref="G12:G16">
    <cfRule type="cellIs" dxfId="8" priority="35" stopIfTrue="1" operator="equal">
      <formula>0</formula>
    </cfRule>
  </conditionalFormatting>
  <conditionalFormatting sqref="G17">
    <cfRule type="cellIs" dxfId="7" priority="34" stopIfTrue="1" operator="equal">
      <formula>0</formula>
    </cfRule>
  </conditionalFormatting>
  <conditionalFormatting sqref="G2">
    <cfRule type="cellIs" dxfId="7" priority="29" operator="equal">
      <formula>0</formula>
    </cfRule>
  </conditionalFormatting>
  <conditionalFormatting sqref="G20:G149">
    <cfRule type="cellIs" dxfId="27" priority="70" operator="equal">
      <formula>10</formula>
    </cfRule>
    <cfRule type="cellIs" dxfId="28" priority="72" operator="equal">
      <formula>11</formula>
    </cfRule>
    <cfRule type="cellIs" dxfId="29" priority="74" operator="equal">
      <formula>12</formula>
    </cfRule>
    <cfRule type="cellIs" dxfId="30" priority="76" operator="equal">
      <formula>13</formula>
    </cfRule>
    <cfRule type="cellIs" dxfId="31" priority="78" operator="equal">
      <formula>14</formula>
    </cfRule>
    <cfRule type="cellIs" dxfId="32" priority="80" operator="equal">
      <formula>"NA"</formula>
    </cfRule>
    <cfRule type="cellIs" dxfId="33" priority="81" operator="equal">
      <formula>""</formula>
    </cfRule>
  </conditionalFormatting>
  <conditionalFormatting sqref="G3:G4">
    <cfRule type="cellIs" dxfId="8" priority="30" operator="equal">
      <formula>0</formula>
    </cfRule>
  </conditionalFormatting>
  <conditionalFormatting sqref="G6:G10">
    <cfRule type="cellIs" dxfId="8" priority="31" stopIfTrue="1" operator="equal">
      <formula>0</formula>
    </cfRule>
    <cfRule type="dataBar" priority="32">
      <dataBar>
        <cfvo type="min"/>
        <cfvo type="max"/>
        <color rgb="FFFFCC00"/>
      </dataBar>
      <extLst>
        <ext xmlns:x14="http://schemas.microsoft.com/office/spreadsheetml/2009/9/main" uri="{B025F937-C7B1-47D3-B67F-A62EFF666E3E}">
          <x14:id>{DA7ABA51-AAAA-BBBB-0002-000000000006}</x14:id>
        </ext>
      </extLst>
    </cfRule>
  </conditionalFormatting>
  <conditionalFormatting sqref="H11">
    <cfRule type="cellIs" dxfId="9" priority="41" stopIfTrue="1" operator="equal">
      <formula>0</formula>
    </cfRule>
  </conditionalFormatting>
  <conditionalFormatting sqref="H12:H16">
    <cfRule type="cellIs" dxfId="10" priority="43" stopIfTrue="1" operator="equal">
      <formula>0</formula>
    </cfRule>
  </conditionalFormatting>
  <conditionalFormatting sqref="H17">
    <cfRule type="cellIs" dxfId="9" priority="42" stopIfTrue="1" operator="equal">
      <formula>0</formula>
    </cfRule>
  </conditionalFormatting>
  <conditionalFormatting sqref="H2">
    <cfRule type="cellIs" dxfId="9" priority="37" operator="equal">
      <formula>0</formula>
    </cfRule>
  </conditionalFormatting>
  <conditionalFormatting sqref="H3:H4">
    <cfRule type="cellIs" dxfId="10" priority="38" operator="equal">
      <formula>0</formula>
    </cfRule>
  </conditionalFormatting>
  <conditionalFormatting sqref="H6:H10">
    <cfRule type="cellIs" dxfId="10" priority="39" stopIfTrue="1" operator="equal">
      <formula>0</formula>
    </cfRule>
    <cfRule type="dataBar" priority="40">
      <dataBar>
        <cfvo type="min"/>
        <cfvo type="max"/>
        <color rgb="FF999999"/>
      </dataBar>
      <extLst>
        <ext xmlns:x14="http://schemas.microsoft.com/office/spreadsheetml/2009/9/main" uri="{B025F937-C7B1-47D3-B67F-A62EFF666E3E}">
          <x14:id>{DA7ABA51-AAAA-BBBB-0002-000000000007}</x14:id>
        </ext>
      </extLst>
    </cfRule>
  </conditionalFormatting>
  <conditionalFormatting sqref="I11">
    <cfRule type="cellIs" dxfId="11" priority="48" stopIfTrue="1" operator="equal">
      <formula>0</formula>
    </cfRule>
  </conditionalFormatting>
  <conditionalFormatting sqref="I12:I16">
    <cfRule type="cellIs" dxfId="12" priority="50" stopIfTrue="1" operator="equal">
      <formula>0</formula>
    </cfRule>
  </conditionalFormatting>
  <conditionalFormatting sqref="I17">
    <cfRule type="cellIs" dxfId="11" priority="49" stopIfTrue="1" operator="equal">
      <formula>0</formula>
    </cfRule>
  </conditionalFormatting>
  <conditionalFormatting sqref="I2">
    <cfRule type="cellIs" dxfId="11" priority="44" operator="equal">
      <formula>0</formula>
    </cfRule>
  </conditionalFormatting>
  <conditionalFormatting sqref="I20:K149">
    <cfRule type="cellIs" dxfId="34" priority="82" operator="equal">
      <formula>1</formula>
    </cfRule>
  </conditionalFormatting>
  <conditionalFormatting sqref="I3:I4">
    <cfRule type="cellIs" dxfId="12" priority="45" operator="equal">
      <formula>0</formula>
    </cfRule>
  </conditionalFormatting>
  <conditionalFormatting sqref="I6:I10">
    <cfRule type="cellIs" dxfId="12" priority="46" stopIfTrue="1" operator="equal">
      <formula>0</formula>
    </cfRule>
    <cfRule type="dataBar" priority="47">
      <dataBar>
        <cfvo type="min"/>
        <cfvo type="max"/>
        <color rgb="FFCCCC99"/>
      </dataBar>
      <extLst>
        <ext xmlns:x14="http://schemas.microsoft.com/office/spreadsheetml/2009/9/main" uri="{B025F937-C7B1-47D3-B67F-A62EFF666E3E}">
          <x14:id>{DA7ABA51-AAAA-BBBB-0002-000000000008}</x14:id>
        </ext>
      </extLst>
    </cfRule>
  </conditionalFormatting>
  <conditionalFormatting sqref="J11">
    <cfRule type="cellIs" dxfId="13" priority="55" stopIfTrue="1" operator="equal">
      <formula>0</formula>
    </cfRule>
  </conditionalFormatting>
  <conditionalFormatting sqref="J12:J16">
    <cfRule type="cellIs" dxfId="14" priority="57" stopIfTrue="1" operator="equal">
      <formula>0</formula>
    </cfRule>
  </conditionalFormatting>
  <conditionalFormatting sqref="J17">
    <cfRule type="cellIs" dxfId="13" priority="56" stopIfTrue="1" operator="equal">
      <formula>0</formula>
    </cfRule>
  </conditionalFormatting>
  <conditionalFormatting sqref="J2">
    <cfRule type="cellIs" dxfId="13" priority="51" operator="equal">
      <formula>0</formula>
    </cfRule>
  </conditionalFormatting>
  <conditionalFormatting sqref="J3:J4">
    <cfRule type="cellIs" dxfId="14" priority="52" operator="equal">
      <formula>0</formula>
    </cfRule>
  </conditionalFormatting>
  <conditionalFormatting sqref="J6:J10">
    <cfRule type="cellIs" dxfId="14" priority="53" stopIfTrue="1" operator="equal">
      <formula>0</formula>
    </cfRule>
    <cfRule type="dataBar" priority="54">
      <dataBar>
        <cfvo type="min"/>
        <cfvo type="max"/>
        <color rgb="FF669999"/>
      </dataBar>
      <extLst>
        <ext xmlns:x14="http://schemas.microsoft.com/office/spreadsheetml/2009/9/main" uri="{B025F937-C7B1-47D3-B67F-A62EFF666E3E}">
          <x14:id>{DA7ABA51-AAAA-BBBB-0002-000000000009}</x14:id>
        </ext>
      </extLst>
    </cfRule>
  </conditionalFormatting>
  <conditionalFormatting sqref="L20:M149">
    <cfRule type="cellIs" dxfId="35" priority="83" operator="notEqual">
      <formula>""</formula>
    </cfRule>
  </conditionalFormatting>
  <conditionalFormatting sqref="N20:N149">
    <cfRule type="cellIs" dxfId="36" priority="84" operator="notEqual">
      <formula>""</formula>
    </cfRule>
  </conditionalFormatting>
  <dataValidations count="7">
    <dataValidation type="list" allowBlank="1" showInputMessage="1" showErrorMessage="1" sqref="C20:C149">
      <formula1>$B$3:$B$4</formula1>
    </dataValidation>
    <dataValidation type="list" allowBlank="1" showInputMessage="1" showErrorMessage="1" sqref="D20:D149">
      <formula1>$B$11</formula1>
    </dataValidation>
    <dataValidation type="list" allowBlank="1" showInputMessage="1" showErrorMessage="1" sqref="E20:F149">
      <formula1>$B$6:$B$10</formula1>
    </dataValidation>
    <dataValidation type="list" allowBlank="1" showInputMessage="1" showErrorMessage="1" sqref="G20:G149">
      <formula1>$C$1:$H$1</formula1>
    </dataValidation>
    <dataValidation type="whole" operator="equal" allowBlank="1" showInputMessage="1" showErrorMessage="1" sqref="I20:K149">
      <formula1>1</formula1>
    </dataValidation>
    <dataValidation type="whole" operator="equal" allowBlank="1" showInputMessage="1" showErrorMessage="1" sqref="L20:L149">
      <formula1>1</formula1>
    </dataValidation>
    <dataValidation type="whole" operator="equal" allowBlank="1" showInputMessage="1" showErrorMessage="1" sqref="N20:N149">
      <formula1>1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7ABA51-AAAA-BBBB-0002-000000000001}">
            <x14:dataBar minLength="0" maxLength="100" border="1" negativeBarBorderColorSameAsPositive="0" axisPosition="none">
              <x14:cfvo type="num">
                <xm:f>-2</xm:f>
              </x14:cfvo>
              <x14:cfvo type="num">
                <xm:f>102</xm:f>
              </x14:cfvo>
              <x14:borderColor rgb="FF990099"/>
              <x14:negativeFillColor rgb="FFFF0000"/>
              <x14:negativeBorderColor rgb="FFFF0000"/>
            </x14:dataBar>
          </x14:cfRule>
          <xm:sqref>C5:J5</xm:sqref>
        </x14:conditionalFormatting>
        <x14:conditionalFormatting xmlns:xm="http://schemas.microsoft.com/office/excel/2006/main">
          <x14:cfRule type="dataBar" id="{DA7ABA51-AAAA-BBBB-0002-000000000002}">
            <x14:dataBar minLength="0" maxLength="100" border="1" gradient="0" negativeBarBorderColorSameAsPositive="0" axisPosition="none">
              <x14:cfvo type="autoMin"/>
              <x14:cfvo type="autoMax"/>
              <x14:borderColor rgb="FF00CC33"/>
              <x14:negativeFillColor rgb="FFFF0000"/>
              <x14:negativeBorderColor rgb="FFFF0000"/>
            </x14:dataBar>
          </x14:cfRule>
          <xm:sqref>C6:C10</xm:sqref>
        </x14:conditionalFormatting>
        <x14:conditionalFormatting xmlns:xm="http://schemas.microsoft.com/office/excel/2006/main">
          <x14:cfRule type="dataBar" id="{DA7ABA51-AAAA-BBBB-0002-000000000003}">
            <x14:dataBar minLength="0" maxLength="100" border="1" gradient="0" negativeBarBorderColorSameAsPositive="0" axisPosition="none">
              <x14:cfvo type="autoMin"/>
              <x14:cfvo type="autoMax"/>
              <x14:borderColor rgb="FF00CCCC"/>
              <x14:negativeFillColor rgb="FFFF0000"/>
              <x14:negativeBorderColor rgb="FFFF0000"/>
            </x14:dataBar>
          </x14:cfRule>
          <xm:sqref>D6:D10</xm:sqref>
        </x14:conditionalFormatting>
        <x14:conditionalFormatting xmlns:xm="http://schemas.microsoft.com/office/excel/2006/main">
          <x14:cfRule type="dataBar" id="{DA7ABA51-AAAA-BBBB-0002-000000000004}">
            <x14:dataBar minLength="0" maxLength="100" border="1" gradient="0" negativeBarBorderColorSameAsPositive="0" axisPosition="none">
              <x14:cfvo type="autoMin"/>
              <x14:cfvo type="autoMax"/>
              <x14:borderColor rgb="FFFF00FF"/>
              <x14:negativeFillColor rgb="FFFF0000"/>
              <x14:negativeBorderColor rgb="FFFF0000"/>
            </x14:dataBar>
          </x14:cfRule>
          <xm:sqref>E6:E10</xm:sqref>
        </x14:conditionalFormatting>
        <x14:conditionalFormatting xmlns:xm="http://schemas.microsoft.com/office/excel/2006/main">
          <x14:cfRule type="dataBar" id="{DA7ABA51-AAAA-BBBB-0002-000000000005}">
            <x14:dataBar minLength="0" maxLength="100" border="1" gradient="0" negativeBarBorderColorSameAsPositive="0" axisPosition="none">
              <x14:cfvo type="autoMin"/>
              <x14:cfvo type="autoMax"/>
              <x14:borderColor rgb="FFFF9900"/>
              <x14:negativeFillColor rgb="FFFF0000"/>
              <x14:negativeBorderColor rgb="FFFF0000"/>
            </x14:dataBar>
          </x14:cfRule>
          <xm:sqref>F6:F10</xm:sqref>
        </x14:conditionalFormatting>
        <x14:conditionalFormatting xmlns:xm="http://schemas.microsoft.com/office/excel/2006/main">
          <x14:cfRule type="dataBar" id="{DA7ABA51-AAAA-BBBB-0002-000000000006}">
            <x14:dataBar minLength="0" maxLength="100" border="1" gradient="0" negativeBarBorderColorSameAsPositive="0" axisPosition="none">
              <x14:cfvo type="autoMin"/>
              <x14:cfvo type="autoMax"/>
              <x14:borderColor rgb="FFFFCC00"/>
              <x14:negativeFillColor rgb="FFFF0000"/>
              <x14:negativeBorderColor rgb="FFFF0000"/>
            </x14:dataBar>
          </x14:cfRule>
          <xm:sqref>G6:G10</xm:sqref>
        </x14:conditionalFormatting>
        <x14:conditionalFormatting xmlns:xm="http://schemas.microsoft.com/office/excel/2006/main">
          <x14:cfRule type="dataBar" id="{DA7ABA51-AAAA-BBBB-0002-000000000007}">
            <x14:dataBar minLength="0" maxLength="100" border="1" gradient="0" negativeBarBorderColorSameAsPositive="0" axisPosition="none">
              <x14:cfvo type="autoMin"/>
              <x14:cfvo type="autoMax"/>
              <x14:borderColor rgb="FF999999"/>
              <x14:negativeFillColor rgb="FFFF0000"/>
              <x14:negativeBorderColor rgb="FFFF0000"/>
            </x14:dataBar>
          </x14:cfRule>
          <xm:sqref>H6:H10</xm:sqref>
        </x14:conditionalFormatting>
        <x14:conditionalFormatting xmlns:xm="http://schemas.microsoft.com/office/excel/2006/main">
          <x14:cfRule type="dataBar" id="{DA7ABA51-AAAA-BBBB-0002-000000000008}">
            <x14:dataBar minLength="0" maxLength="100" border="1" gradient="0" negativeBarBorderColorSameAsPositive="0" axisPosition="none">
              <x14:cfvo type="autoMin"/>
              <x14:cfvo type="autoMax"/>
              <x14:borderColor rgb="FFCCCC99"/>
              <x14:negativeFillColor rgb="FFFF0000"/>
              <x14:negativeBorderColor rgb="FFFF0000"/>
            </x14:dataBar>
          </x14:cfRule>
          <xm:sqref>I6:I10</xm:sqref>
        </x14:conditionalFormatting>
        <x14:conditionalFormatting xmlns:xm="http://schemas.microsoft.com/office/excel/2006/main">
          <x14:cfRule type="dataBar" id="{DA7ABA51-AAAA-BBBB-0002-000000000009}">
            <x14:dataBar minLength="0" maxLength="100" border="1" gradient="0" negativeBarBorderColorSameAsPositive="0" axisPosition="none">
              <x14:cfvo type="autoMin"/>
              <x14:cfvo type="autoMax"/>
              <x14:borderColor rgb="FF669999"/>
              <x14:negativeFillColor rgb="FFFF0000"/>
              <x14:negativeBorderColor rgb="FFFF0000"/>
            </x14:dataBar>
          </x14:cfRule>
          <xm:sqref>J6:J10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13</vt:i4>
      </vt:variant>
    </vt:vector>
  </HeadingPairs>
  <TitlesOfParts>
    <vt:vector size="15" baseType="lpstr">
      <vt:lpstr>Patates</vt:lpstr>
      <vt:lpstr>3e 2018-19</vt:lpstr>
      <vt:lpstr>_All2</vt:lpstr>
      <vt:lpstr>_Classe</vt:lpstr>
      <vt:lpstr>_Comportement</vt:lpstr>
      <vt:lpstr>_DivOrig</vt:lpstr>
      <vt:lpstr>_Esp2</vt:lpstr>
      <vt:lpstr>_Ita2</vt:lpstr>
      <vt:lpstr>_Latin</vt:lpstr>
      <vt:lpstr>_Niveau</vt:lpstr>
      <vt:lpstr>_Nom</vt:lpstr>
      <vt:lpstr>_Prénom</vt:lpstr>
      <vt:lpstr>_Retard</vt:lpstr>
      <vt:lpstr>_Sexe</vt:lpstr>
      <vt:lpstr>_Sport</vt:lpstr>
    </vt:vector>
  </TitlesOfParts>
  <Company>Lycée Marie de Champagne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Répartition 3e</dc:title>
  <dc:subject>Rentrée R18</dc:subject>
  <dc:creator>Jérôme BARTH</dc:creator>
  <dc:description>Créé avec Python and XlsxWriter</dc:description>
  <cp:lastModifiedBy>Jérôme BARTH</cp:lastModifiedBy>
  <dcterms:created xsi:type="dcterms:W3CDTF">2018-04-30T14:19:12Z</dcterms:created>
  <dcterms:modified xsi:type="dcterms:W3CDTF">2018-04-30T14:19:12Z</dcterms:modified>
</cp:coreProperties>
</file>